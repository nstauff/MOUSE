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hannbn/Downloads/"/>
    </mc:Choice>
  </mc:AlternateContent>
  <xr:revisionPtr revIDLastSave="0" documentId="13_ncr:1_{0F7F39E6-2932-FF4A-94A7-66DEED9BC011}" xr6:coauthVersionLast="47" xr6:coauthVersionMax="47" xr10:uidLastSave="{00000000-0000-0000-0000-000000000000}"/>
  <bookViews>
    <workbookView xWindow="0" yWindow="660" windowWidth="30240" windowHeight="17180" tabRatio="877" xr2:uid="{00000000-000D-0000-FFFF-FFFF00000000}"/>
  </bookViews>
  <sheets>
    <sheet name="Cost Database" sheetId="1" r:id="rId1"/>
    <sheet name="MARVEL_Cost" sheetId="2" r:id="rId2"/>
    <sheet name="Design Variables" sheetId="3" r:id="rId3"/>
    <sheet name="Inflation Adjustment" sheetId="4" r:id="rId4"/>
    <sheet name="Economics Parameters" sheetId="5" r:id="rId5"/>
    <sheet name="Central Facility Database" sheetId="6" r:id="rId6"/>
  </sheets>
  <definedNames>
    <definedName name="_xlnm._FilterDatabase" localSheetId="0" hidden="1">'Cost Database'!$A$1:$AB$181</definedName>
    <definedName name="CRF">#REF!</definedName>
    <definedName name="DiscountRate">#REF!</definedName>
    <definedName name="FacilityLifetime">#REF!</definedName>
    <definedName name="GeneralDataManufacturingLocations">#REF!</definedName>
    <definedName name="MaterialData316SSStandardDensity">#REF!</definedName>
    <definedName name="MaterialDataA36CSStandardDensity">#REF!</definedName>
    <definedName name="MaterialDataB4CNaturalTheoreticalDensity">#REF!</definedName>
    <definedName name="MaterialDataConcreteNominalSolidDensity">#REF!</definedName>
    <definedName name="MaterialDataGeneralInsulationStandardDensity">#REF!</definedName>
    <definedName name="MaterialDataGR22StandardDensity">#REF!</definedName>
    <definedName name="MaterialDataInconel718StandardDensity">#REF!</definedName>
    <definedName name="UC_m_i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3" i="4" l="1"/>
  <c r="F43" i="4"/>
  <c r="F2" i="4"/>
  <c r="F3" i="4"/>
  <c r="F4" i="4"/>
  <c r="F5" i="4"/>
  <c r="F6" i="4"/>
  <c r="F7" i="4"/>
  <c r="F8" i="4"/>
  <c r="F9" i="4"/>
  <c r="F10" i="4"/>
  <c r="F11" i="4"/>
  <c r="F12" i="4"/>
  <c r="F13" i="4"/>
  <c r="F14" i="4"/>
  <c r="F15" i="4"/>
  <c r="F16" i="4"/>
  <c r="F17" i="4"/>
  <c r="F18" i="4"/>
  <c r="F19" i="4"/>
  <c r="F20" i="4"/>
  <c r="F21" i="4"/>
  <c r="F22" i="4"/>
  <c r="F23" i="4"/>
  <c r="F24" i="4"/>
  <c r="F25" i="4"/>
  <c r="F26" i="4"/>
  <c r="F27" i="4"/>
  <c r="F28" i="4"/>
  <c r="F29" i="4"/>
  <c r="F30" i="4"/>
  <c r="F31" i="4"/>
  <c r="F32" i="4"/>
  <c r="F33" i="4"/>
  <c r="F34" i="4"/>
  <c r="F35" i="4"/>
  <c r="F36" i="4"/>
  <c r="F37" i="4"/>
  <c r="F38" i="4"/>
  <c r="F39" i="4"/>
  <c r="F40" i="4"/>
  <c r="F41" i="4"/>
  <c r="F42" i="4"/>
  <c r="AB132" i="6"/>
  <c r="X5" i="6"/>
  <c r="X3" i="6"/>
  <c r="M86" i="6"/>
  <c r="M84" i="6"/>
  <c r="D85" i="6"/>
  <c r="C86" i="6"/>
  <c r="G2" i="4"/>
  <c r="G3" i="4"/>
  <c r="B268" i="6"/>
  <c r="D268" i="6" s="1"/>
  <c r="B267" i="6"/>
  <c r="D267" i="6" s="1"/>
  <c r="AB266" i="6"/>
  <c r="AA266" i="6"/>
  <c r="B266" i="6"/>
  <c r="D266" i="6" s="1"/>
  <c r="AB265" i="6"/>
  <c r="AA265" i="6"/>
  <c r="B265" i="6"/>
  <c r="D265" i="6" s="1"/>
  <c r="AB264" i="6"/>
  <c r="AA264" i="6"/>
  <c r="B264" i="6"/>
  <c r="D264" i="6" s="1"/>
  <c r="AB263" i="6"/>
  <c r="AA263" i="6"/>
  <c r="B263" i="6"/>
  <c r="D263" i="6" s="1"/>
  <c r="B262" i="6"/>
  <c r="D262" i="6" s="1"/>
  <c r="AB261" i="6"/>
  <c r="AA261" i="6"/>
  <c r="Y261" i="6"/>
  <c r="X261" i="6"/>
  <c r="B261" i="6"/>
  <c r="D261" i="6" s="1"/>
  <c r="B260" i="6"/>
  <c r="D260" i="6" s="1"/>
  <c r="B259" i="6"/>
  <c r="D259" i="6" s="1"/>
  <c r="B258" i="6"/>
  <c r="D258" i="6" s="1"/>
  <c r="B257" i="6"/>
  <c r="D257" i="6" s="1"/>
  <c r="B256" i="6"/>
  <c r="D256" i="6" s="1"/>
  <c r="B255" i="6"/>
  <c r="D255" i="6" s="1"/>
  <c r="AB254" i="6"/>
  <c r="AA254" i="6"/>
  <c r="Y254" i="6"/>
  <c r="X254" i="6"/>
  <c r="B254" i="6"/>
  <c r="D254" i="6" s="1"/>
  <c r="AB253" i="6"/>
  <c r="AA253" i="6"/>
  <c r="Y253" i="6"/>
  <c r="X253" i="6"/>
  <c r="B253" i="6"/>
  <c r="D253" i="6" s="1"/>
  <c r="AB252" i="6"/>
  <c r="AA252" i="6"/>
  <c r="Y252" i="6"/>
  <c r="X252" i="6"/>
  <c r="B252" i="6"/>
  <c r="D252" i="6" s="1"/>
  <c r="D251" i="6"/>
  <c r="B251" i="6"/>
  <c r="B250" i="6"/>
  <c r="D250" i="6" s="1"/>
  <c r="B249" i="6"/>
  <c r="D249" i="6" s="1"/>
  <c r="B248" i="6"/>
  <c r="D248" i="6" s="1"/>
  <c r="B247" i="6"/>
  <c r="D247" i="6" s="1"/>
  <c r="D246" i="6"/>
  <c r="B246" i="6"/>
  <c r="B245" i="6"/>
  <c r="D245" i="6" s="1"/>
  <c r="B244" i="6"/>
  <c r="D244" i="6" s="1"/>
  <c r="D243" i="6"/>
  <c r="D242" i="6"/>
  <c r="B241" i="6"/>
  <c r="D241" i="6" s="1"/>
  <c r="AB240" i="6"/>
  <c r="AA240" i="6"/>
  <c r="Y240" i="6"/>
  <c r="X240" i="6"/>
  <c r="B240" i="6"/>
  <c r="D240" i="6" s="1"/>
  <c r="AB239" i="6"/>
  <c r="AA239" i="6"/>
  <c r="Y239" i="6"/>
  <c r="X239" i="6"/>
  <c r="D239" i="6"/>
  <c r="B239" i="6"/>
  <c r="AB238" i="6"/>
  <c r="AA238" i="6"/>
  <c r="Y238" i="6"/>
  <c r="X238" i="6"/>
  <c r="B238" i="6"/>
  <c r="D238" i="6" s="1"/>
  <c r="AB237" i="6"/>
  <c r="AA237" i="6"/>
  <c r="Y237" i="6"/>
  <c r="X237" i="6"/>
  <c r="B237" i="6"/>
  <c r="D237" i="6" s="1"/>
  <c r="B236" i="6"/>
  <c r="D236" i="6" s="1"/>
  <c r="AB235" i="6"/>
  <c r="AA235" i="6"/>
  <c r="Y235" i="6"/>
  <c r="X235" i="6"/>
  <c r="D235" i="6"/>
  <c r="B235" i="6"/>
  <c r="B234" i="6"/>
  <c r="D234" i="6" s="1"/>
  <c r="B233" i="6"/>
  <c r="D233" i="6" s="1"/>
  <c r="AB232" i="6"/>
  <c r="AA232" i="6"/>
  <c r="Y232" i="6"/>
  <c r="X232" i="6"/>
  <c r="D232" i="6"/>
  <c r="B232" i="6"/>
  <c r="B231" i="6"/>
  <c r="D231" i="6" s="1"/>
  <c r="AA230" i="6"/>
  <c r="Y230" i="6"/>
  <c r="X230" i="6"/>
  <c r="K230" i="6"/>
  <c r="AB230" i="6" s="1"/>
  <c r="B230" i="6"/>
  <c r="D230" i="6" s="1"/>
  <c r="Y229" i="6"/>
  <c r="X229" i="6"/>
  <c r="K229" i="6"/>
  <c r="AA229" i="6" s="1"/>
  <c r="B229" i="6"/>
  <c r="D229" i="6" s="1"/>
  <c r="AB228" i="6"/>
  <c r="AA228" i="6"/>
  <c r="Y228" i="6"/>
  <c r="X228" i="6"/>
  <c r="K228" i="6"/>
  <c r="D228" i="6"/>
  <c r="B228" i="6"/>
  <c r="Y227" i="6"/>
  <c r="X227" i="6"/>
  <c r="K227" i="6"/>
  <c r="D227" i="6"/>
  <c r="B227" i="6"/>
  <c r="Y226" i="6"/>
  <c r="X226" i="6"/>
  <c r="K226" i="6"/>
  <c r="AB226" i="6" s="1"/>
  <c r="D226" i="6"/>
  <c r="B226" i="6"/>
  <c r="AB225" i="6"/>
  <c r="AA225" i="6"/>
  <c r="Y225" i="6"/>
  <c r="X225" i="6"/>
  <c r="K225" i="6"/>
  <c r="B225" i="6"/>
  <c r="D225" i="6" s="1"/>
  <c r="B224" i="6"/>
  <c r="D224" i="6" s="1"/>
  <c r="AB223" i="6"/>
  <c r="AA223" i="6"/>
  <c r="Y223" i="6"/>
  <c r="X223" i="6"/>
  <c r="B223" i="6"/>
  <c r="D223" i="6" s="1"/>
  <c r="AB222" i="6"/>
  <c r="AA222" i="6"/>
  <c r="Y222" i="6"/>
  <c r="X222" i="6"/>
  <c r="B222" i="6"/>
  <c r="D222" i="6" s="1"/>
  <c r="AB221" i="6"/>
  <c r="AA221" i="6"/>
  <c r="Y221" i="6"/>
  <c r="X221" i="6"/>
  <c r="B221" i="6"/>
  <c r="D221" i="6" s="1"/>
  <c r="AB220" i="6"/>
  <c r="AA220" i="6"/>
  <c r="Y220" i="6"/>
  <c r="X220" i="6"/>
  <c r="D220" i="6"/>
  <c r="B220" i="6"/>
  <c r="AB219" i="6"/>
  <c r="AA219" i="6"/>
  <c r="Y219" i="6"/>
  <c r="X219" i="6"/>
  <c r="B219" i="6"/>
  <c r="D219" i="6" s="1"/>
  <c r="AB218" i="6"/>
  <c r="AA218" i="6"/>
  <c r="Y218" i="6"/>
  <c r="X218" i="6"/>
  <c r="B218" i="6"/>
  <c r="D218" i="6" s="1"/>
  <c r="B217" i="6"/>
  <c r="D217" i="6" s="1"/>
  <c r="AB216" i="6"/>
  <c r="AA216" i="6"/>
  <c r="Y216" i="6"/>
  <c r="X216" i="6"/>
  <c r="D216" i="6"/>
  <c r="B216" i="6"/>
  <c r="AB215" i="6"/>
  <c r="AA215" i="6"/>
  <c r="Y215" i="6"/>
  <c r="X215" i="6"/>
  <c r="B215" i="6"/>
  <c r="D215" i="6" s="1"/>
  <c r="AB214" i="6"/>
  <c r="AA214" i="6"/>
  <c r="Y214" i="6"/>
  <c r="X214" i="6"/>
  <c r="B214" i="6"/>
  <c r="D214" i="6" s="1"/>
  <c r="B213" i="6"/>
  <c r="D213" i="6" s="1"/>
  <c r="AB212" i="6"/>
  <c r="AA212" i="6"/>
  <c r="Y212" i="6"/>
  <c r="X212" i="6"/>
  <c r="D212" i="6"/>
  <c r="B212" i="6"/>
  <c r="Y211" i="6"/>
  <c r="X211" i="6"/>
  <c r="K211" i="6"/>
  <c r="AB211" i="6" s="1"/>
  <c r="D211" i="6"/>
  <c r="B211" i="6"/>
  <c r="AB210" i="6"/>
  <c r="AA210" i="6"/>
  <c r="Y210" i="6"/>
  <c r="X210" i="6"/>
  <c r="K210" i="6"/>
  <c r="B210" i="6"/>
  <c r="D210" i="6" s="1"/>
  <c r="AB209" i="6"/>
  <c r="AA209" i="6"/>
  <c r="Y209" i="6"/>
  <c r="X209" i="6"/>
  <c r="D209" i="6"/>
  <c r="B209" i="6"/>
  <c r="B208" i="6"/>
  <c r="D208" i="6" s="1"/>
  <c r="AA207" i="6"/>
  <c r="Y207" i="6"/>
  <c r="X207" i="6"/>
  <c r="K207" i="6"/>
  <c r="AB207" i="6" s="1"/>
  <c r="B207" i="6"/>
  <c r="D207" i="6" s="1"/>
  <c r="Y206" i="6"/>
  <c r="X206" i="6"/>
  <c r="K206" i="6"/>
  <c r="AA206" i="6" s="1"/>
  <c r="B206" i="6"/>
  <c r="D206" i="6" s="1"/>
  <c r="AB205" i="6"/>
  <c r="AA205" i="6"/>
  <c r="Y205" i="6"/>
  <c r="X205" i="6"/>
  <c r="K205" i="6"/>
  <c r="D205" i="6"/>
  <c r="B205" i="6"/>
  <c r="D204" i="6"/>
  <c r="B204" i="6"/>
  <c r="AB203" i="6"/>
  <c r="AA203" i="6"/>
  <c r="Y203" i="6"/>
  <c r="X203" i="6"/>
  <c r="D203" i="6"/>
  <c r="B203" i="6"/>
  <c r="AB202" i="6"/>
  <c r="AA202" i="6"/>
  <c r="Y202" i="6"/>
  <c r="X202" i="6"/>
  <c r="D202" i="6"/>
  <c r="B202" i="6"/>
  <c r="AB201" i="6"/>
  <c r="AA201" i="6"/>
  <c r="Y201" i="6"/>
  <c r="X201" i="6"/>
  <c r="D201" i="6"/>
  <c r="B201" i="6"/>
  <c r="AB200" i="6"/>
  <c r="AA200" i="6"/>
  <c r="Y200" i="6"/>
  <c r="X200" i="6"/>
  <c r="D200" i="6"/>
  <c r="B200" i="6"/>
  <c r="AB199" i="6"/>
  <c r="AA199" i="6"/>
  <c r="Y199" i="6"/>
  <c r="X199" i="6"/>
  <c r="D199" i="6"/>
  <c r="B199" i="6"/>
  <c r="AB198" i="6"/>
  <c r="AA198" i="6"/>
  <c r="Y198" i="6"/>
  <c r="X198" i="6"/>
  <c r="D198" i="6"/>
  <c r="B198" i="6"/>
  <c r="D197" i="6"/>
  <c r="B197" i="6"/>
  <c r="Y196" i="6"/>
  <c r="X196" i="6"/>
  <c r="K196" i="6"/>
  <c r="D196" i="6"/>
  <c r="B196" i="6"/>
  <c r="Y195" i="6"/>
  <c r="X195" i="6"/>
  <c r="K195" i="6"/>
  <c r="AB195" i="6" s="1"/>
  <c r="D195" i="6"/>
  <c r="B195" i="6"/>
  <c r="AB194" i="6"/>
  <c r="AA194" i="6"/>
  <c r="Y194" i="6"/>
  <c r="X194" i="6"/>
  <c r="K194" i="6"/>
  <c r="B194" i="6"/>
  <c r="D194" i="6" s="1"/>
  <c r="Y193" i="6"/>
  <c r="X193" i="6"/>
  <c r="K193" i="6"/>
  <c r="D193" i="6"/>
  <c r="B193" i="6"/>
  <c r="D192" i="6"/>
  <c r="B192" i="6"/>
  <c r="Y191" i="6"/>
  <c r="X191" i="6"/>
  <c r="K191" i="6"/>
  <c r="D191" i="6"/>
  <c r="B191" i="6"/>
  <c r="AB190" i="6"/>
  <c r="AA190" i="6"/>
  <c r="Y190" i="6"/>
  <c r="X190" i="6"/>
  <c r="B190" i="6"/>
  <c r="D190" i="6" s="1"/>
  <c r="B189" i="6"/>
  <c r="D189" i="6" s="1"/>
  <c r="AB188" i="6"/>
  <c r="AA188" i="6"/>
  <c r="Y188" i="6"/>
  <c r="X188" i="6"/>
  <c r="B188" i="6"/>
  <c r="D188" i="6" s="1"/>
  <c r="AB187" i="6"/>
  <c r="AA187" i="6"/>
  <c r="Y187" i="6"/>
  <c r="X187" i="6"/>
  <c r="D187" i="6"/>
  <c r="B187" i="6"/>
  <c r="AB186" i="6"/>
  <c r="AA186" i="6"/>
  <c r="Y186" i="6"/>
  <c r="X186" i="6"/>
  <c r="B186" i="6"/>
  <c r="D186" i="6" s="1"/>
  <c r="B185" i="6"/>
  <c r="D185" i="6" s="1"/>
  <c r="AB184" i="6"/>
  <c r="AA184" i="6"/>
  <c r="Y184" i="6"/>
  <c r="X184" i="6"/>
  <c r="B184" i="6"/>
  <c r="D184" i="6" s="1"/>
  <c r="AB183" i="6"/>
  <c r="AA183" i="6"/>
  <c r="Y183" i="6"/>
  <c r="X183" i="6"/>
  <c r="D183" i="6"/>
  <c r="B183" i="6"/>
  <c r="AB182" i="6"/>
  <c r="AA182" i="6"/>
  <c r="Y182" i="6"/>
  <c r="X182" i="6"/>
  <c r="B182" i="6"/>
  <c r="D182" i="6" s="1"/>
  <c r="AB181" i="6"/>
  <c r="AA181" i="6"/>
  <c r="Y181" i="6"/>
  <c r="X181" i="6"/>
  <c r="B181" i="6"/>
  <c r="D181" i="6" s="1"/>
  <c r="AB180" i="6"/>
  <c r="AA180" i="6"/>
  <c r="B180" i="6"/>
  <c r="D180" i="6" s="1"/>
  <c r="B179" i="6"/>
  <c r="D179" i="6" s="1"/>
  <c r="AB178" i="6"/>
  <c r="AA178" i="6"/>
  <c r="Y178" i="6"/>
  <c r="X178" i="6"/>
  <c r="B178" i="6"/>
  <c r="D178" i="6" s="1"/>
  <c r="AB177" i="6"/>
  <c r="AA177" i="6"/>
  <c r="Y177" i="6"/>
  <c r="X177" i="6"/>
  <c r="D177" i="6"/>
  <c r="B177" i="6"/>
  <c r="AB176" i="6"/>
  <c r="AA176" i="6"/>
  <c r="B176" i="6"/>
  <c r="D176" i="6" s="1"/>
  <c r="AB175" i="6"/>
  <c r="AA175" i="6"/>
  <c r="B175" i="6"/>
  <c r="D175" i="6" s="1"/>
  <c r="AB174" i="6"/>
  <c r="AA174" i="6"/>
  <c r="B174" i="6"/>
  <c r="D174" i="6" s="1"/>
  <c r="AB173" i="6"/>
  <c r="AA173" i="6"/>
  <c r="Y173" i="6"/>
  <c r="X173" i="6"/>
  <c r="B173" i="6"/>
  <c r="D173" i="6" s="1"/>
  <c r="D172" i="6"/>
  <c r="B172" i="6"/>
  <c r="B171" i="6"/>
  <c r="D171" i="6" s="1"/>
  <c r="AB170" i="6"/>
  <c r="AA170" i="6"/>
  <c r="Y170" i="6"/>
  <c r="X170" i="6"/>
  <c r="B170" i="6"/>
  <c r="D170" i="6" s="1"/>
  <c r="AB169" i="6"/>
  <c r="AA169" i="6"/>
  <c r="Y169" i="6"/>
  <c r="X169" i="6"/>
  <c r="B169" i="6"/>
  <c r="D169" i="6" s="1"/>
  <c r="AB168" i="6"/>
  <c r="AA168" i="6"/>
  <c r="Y168" i="6"/>
  <c r="X168" i="6"/>
  <c r="D168" i="6"/>
  <c r="B168" i="6"/>
  <c r="AB167" i="6"/>
  <c r="AA167" i="6"/>
  <c r="Y167" i="6"/>
  <c r="X167" i="6"/>
  <c r="B167" i="6"/>
  <c r="D167" i="6" s="1"/>
  <c r="AB166" i="6"/>
  <c r="AA166" i="6"/>
  <c r="Y166" i="6"/>
  <c r="X166" i="6"/>
  <c r="B166" i="6"/>
  <c r="D166" i="6" s="1"/>
  <c r="AB165" i="6"/>
  <c r="AA165" i="6"/>
  <c r="Y165" i="6"/>
  <c r="X165" i="6"/>
  <c r="B165" i="6"/>
  <c r="D165" i="6" s="1"/>
  <c r="D164" i="6"/>
  <c r="B164" i="6"/>
  <c r="AB163" i="6"/>
  <c r="AA163" i="6"/>
  <c r="Y163" i="6"/>
  <c r="X163" i="6"/>
  <c r="B163" i="6"/>
  <c r="D163" i="6" s="1"/>
  <c r="AB162" i="6"/>
  <c r="AA162" i="6"/>
  <c r="Y162" i="6"/>
  <c r="X162" i="6"/>
  <c r="B162" i="6"/>
  <c r="D162" i="6" s="1"/>
  <c r="AB161" i="6"/>
  <c r="AA161" i="6"/>
  <c r="Y161" i="6"/>
  <c r="X161" i="6"/>
  <c r="B161" i="6"/>
  <c r="D161" i="6" s="1"/>
  <c r="D160" i="6"/>
  <c r="B160" i="6"/>
  <c r="AB159" i="6"/>
  <c r="AA159" i="6"/>
  <c r="Y159" i="6"/>
  <c r="X159" i="6"/>
  <c r="B159" i="6"/>
  <c r="D159" i="6" s="1"/>
  <c r="AB158" i="6"/>
  <c r="AA158" i="6"/>
  <c r="Y158" i="6"/>
  <c r="X158" i="6"/>
  <c r="B158" i="6"/>
  <c r="D158" i="6" s="1"/>
  <c r="AB157" i="6"/>
  <c r="AA157" i="6"/>
  <c r="Y157" i="6"/>
  <c r="X157" i="6"/>
  <c r="B157" i="6"/>
  <c r="D157" i="6" s="1"/>
  <c r="D156" i="6"/>
  <c r="B156" i="6"/>
  <c r="Y155" i="6"/>
  <c r="X155" i="6"/>
  <c r="K155" i="6"/>
  <c r="AB155" i="6" s="1"/>
  <c r="D155" i="6"/>
  <c r="B155" i="6"/>
  <c r="AB154" i="6"/>
  <c r="AA154" i="6"/>
  <c r="Y154" i="6"/>
  <c r="X154" i="6"/>
  <c r="K154" i="6"/>
  <c r="B154" i="6"/>
  <c r="D154" i="6" s="1"/>
  <c r="Y153" i="6"/>
  <c r="X153" i="6"/>
  <c r="K153" i="6"/>
  <c r="D153" i="6"/>
  <c r="B153" i="6"/>
  <c r="Y152" i="6"/>
  <c r="X152" i="6"/>
  <c r="K152" i="6"/>
  <c r="AB152" i="6" s="1"/>
  <c r="B152" i="6"/>
  <c r="D152" i="6" s="1"/>
  <c r="D151" i="6"/>
  <c r="B151" i="6"/>
  <c r="Y150" i="6"/>
  <c r="X150" i="6"/>
  <c r="K150" i="6"/>
  <c r="AB150" i="6" s="1"/>
  <c r="D150" i="6"/>
  <c r="B150" i="6"/>
  <c r="AB149" i="6"/>
  <c r="AA149" i="6"/>
  <c r="Y149" i="6"/>
  <c r="X149" i="6"/>
  <c r="D149" i="6"/>
  <c r="B149" i="6"/>
  <c r="D148" i="6"/>
  <c r="B148" i="6"/>
  <c r="AB147" i="6"/>
  <c r="AA147" i="6"/>
  <c r="Y147" i="6"/>
  <c r="X147" i="6"/>
  <c r="D147" i="6"/>
  <c r="B147" i="6"/>
  <c r="AB146" i="6"/>
  <c r="AA146" i="6"/>
  <c r="Y146" i="6"/>
  <c r="X146" i="6"/>
  <c r="D146" i="6"/>
  <c r="B146" i="6"/>
  <c r="AB145" i="6"/>
  <c r="AA145" i="6"/>
  <c r="Y145" i="6"/>
  <c r="X145" i="6"/>
  <c r="D145" i="6"/>
  <c r="B145" i="6"/>
  <c r="AB144" i="6"/>
  <c r="AA144" i="6"/>
  <c r="Y144" i="6"/>
  <c r="X144" i="6"/>
  <c r="D144" i="6"/>
  <c r="B144" i="6"/>
  <c r="AB143" i="6"/>
  <c r="AA143" i="6"/>
  <c r="D143" i="6"/>
  <c r="B143" i="6"/>
  <c r="D142" i="6"/>
  <c r="B142" i="6"/>
  <c r="AB141" i="6"/>
  <c r="AA141" i="6"/>
  <c r="Y141" i="6"/>
  <c r="X141" i="6"/>
  <c r="D141" i="6"/>
  <c r="B141" i="6"/>
  <c r="AB140" i="6"/>
  <c r="AA140" i="6"/>
  <c r="Y140" i="6"/>
  <c r="X140" i="6"/>
  <c r="D140" i="6"/>
  <c r="B140" i="6"/>
  <c r="AB139" i="6"/>
  <c r="AA139" i="6"/>
  <c r="D139" i="6"/>
  <c r="B139" i="6"/>
  <c r="AB138" i="6"/>
  <c r="AA138" i="6"/>
  <c r="Y138" i="6"/>
  <c r="X138" i="6"/>
  <c r="D138" i="6"/>
  <c r="B138" i="6"/>
  <c r="AB137" i="6"/>
  <c r="AA137" i="6"/>
  <c r="D137" i="6"/>
  <c r="B137" i="6"/>
  <c r="AB136" i="6"/>
  <c r="AA136" i="6"/>
  <c r="D136" i="6"/>
  <c r="B136" i="6"/>
  <c r="AB135" i="6"/>
  <c r="AA135" i="6"/>
  <c r="D135" i="6"/>
  <c r="B135" i="6"/>
  <c r="D134" i="6"/>
  <c r="B134" i="6"/>
  <c r="D133" i="6"/>
  <c r="B133" i="6"/>
  <c r="AA132" i="6"/>
  <c r="Y132" i="6"/>
  <c r="X132" i="6"/>
  <c r="D132" i="6"/>
  <c r="B132" i="6"/>
  <c r="Y131" i="6"/>
  <c r="X131" i="6"/>
  <c r="K131" i="6"/>
  <c r="AA131" i="6" s="1"/>
  <c r="B131" i="6"/>
  <c r="D131" i="6" s="1"/>
  <c r="AB130" i="6"/>
  <c r="AA130" i="6"/>
  <c r="Y130" i="6"/>
  <c r="X130" i="6"/>
  <c r="M130" i="6"/>
  <c r="D130" i="6"/>
  <c r="B130" i="6"/>
  <c r="Y129" i="6"/>
  <c r="X129" i="6"/>
  <c r="M129" i="6"/>
  <c r="K129" i="6"/>
  <c r="D129" i="6"/>
  <c r="C129" i="6"/>
  <c r="B129" i="6"/>
  <c r="Y128" i="6"/>
  <c r="X128" i="6"/>
  <c r="M128" i="6"/>
  <c r="K128" i="6"/>
  <c r="D128" i="6"/>
  <c r="C128" i="6"/>
  <c r="B128" i="6"/>
  <c r="Y127" i="6"/>
  <c r="X127" i="6"/>
  <c r="K127" i="6"/>
  <c r="AB127" i="6" s="1"/>
  <c r="D127" i="6"/>
  <c r="C127" i="6"/>
  <c r="M127" i="6" s="1"/>
  <c r="B127" i="6"/>
  <c r="B126" i="6"/>
  <c r="D126" i="6" s="1"/>
  <c r="AB125" i="6"/>
  <c r="AA125" i="6"/>
  <c r="Y125" i="6"/>
  <c r="X125" i="6"/>
  <c r="M125" i="6"/>
  <c r="B125" i="6"/>
  <c r="D125" i="6" s="1"/>
  <c r="Y124" i="6"/>
  <c r="X124" i="6"/>
  <c r="M124" i="6"/>
  <c r="K124" i="6"/>
  <c r="AA124" i="6" s="1"/>
  <c r="C124" i="6"/>
  <c r="B124" i="6"/>
  <c r="D124" i="6" s="1"/>
  <c r="AB123" i="6"/>
  <c r="Y123" i="6"/>
  <c r="X123" i="6"/>
  <c r="K123" i="6"/>
  <c r="AA123" i="6" s="1"/>
  <c r="C123" i="6"/>
  <c r="M123" i="6" s="1"/>
  <c r="B123" i="6"/>
  <c r="D123" i="6" s="1"/>
  <c r="AB122" i="6"/>
  <c r="AA122" i="6"/>
  <c r="Y122" i="6"/>
  <c r="X122" i="6"/>
  <c r="K122" i="6"/>
  <c r="C122" i="6"/>
  <c r="M122" i="6" s="1"/>
  <c r="B122" i="6"/>
  <c r="D122" i="6" s="1"/>
  <c r="B121" i="6"/>
  <c r="D121" i="6" s="1"/>
  <c r="AB120" i="6"/>
  <c r="AA120" i="6"/>
  <c r="Y120" i="6"/>
  <c r="X120" i="6"/>
  <c r="M120" i="6"/>
  <c r="D120" i="6"/>
  <c r="B120" i="6"/>
  <c r="AB119" i="6"/>
  <c r="AA119" i="6"/>
  <c r="Y119" i="6"/>
  <c r="X119" i="6"/>
  <c r="M119" i="6"/>
  <c r="K119" i="6"/>
  <c r="C119" i="6"/>
  <c r="B119" i="6"/>
  <c r="D119" i="6" s="1"/>
  <c r="AB118" i="6"/>
  <c r="AA118" i="6"/>
  <c r="Y118" i="6"/>
  <c r="X118" i="6"/>
  <c r="M118" i="6"/>
  <c r="K118" i="6"/>
  <c r="C118" i="6"/>
  <c r="B118" i="6"/>
  <c r="D118" i="6" s="1"/>
  <c r="Y117" i="6"/>
  <c r="X117" i="6"/>
  <c r="M117" i="6"/>
  <c r="K117" i="6"/>
  <c r="D117" i="6"/>
  <c r="C117" i="6"/>
  <c r="B117" i="6"/>
  <c r="B116" i="6"/>
  <c r="D116" i="6" s="1"/>
  <c r="AB115" i="6"/>
  <c r="AA115" i="6"/>
  <c r="Y115" i="6"/>
  <c r="X115" i="6"/>
  <c r="D115" i="6"/>
  <c r="B115" i="6"/>
  <c r="Y114" i="6"/>
  <c r="X114" i="6"/>
  <c r="K114" i="6"/>
  <c r="AB114" i="6" s="1"/>
  <c r="C114" i="6"/>
  <c r="M114" i="6" s="1"/>
  <c r="B114" i="6"/>
  <c r="D114" i="6" s="1"/>
  <c r="Y113" i="6"/>
  <c r="X113" i="6"/>
  <c r="M113" i="6"/>
  <c r="K113" i="6"/>
  <c r="AA113" i="6" s="1"/>
  <c r="C113" i="6"/>
  <c r="B113" i="6"/>
  <c r="D113" i="6" s="1"/>
  <c r="AB112" i="6"/>
  <c r="Y112" i="6"/>
  <c r="X112" i="6"/>
  <c r="K112" i="6"/>
  <c r="AA112" i="6" s="1"/>
  <c r="C112" i="6"/>
  <c r="M112" i="6" s="1"/>
  <c r="B112" i="6"/>
  <c r="D112" i="6" s="1"/>
  <c r="B111" i="6"/>
  <c r="D111" i="6" s="1"/>
  <c r="AB110" i="6"/>
  <c r="AA110" i="6"/>
  <c r="Y110" i="6"/>
  <c r="X110" i="6"/>
  <c r="D110" i="6"/>
  <c r="B110" i="6"/>
  <c r="AB109" i="6"/>
  <c r="AA109" i="6"/>
  <c r="Y109" i="6"/>
  <c r="X109" i="6"/>
  <c r="D109" i="6"/>
  <c r="B109" i="6"/>
  <c r="AB108" i="6"/>
  <c r="AA108" i="6"/>
  <c r="Y108" i="6"/>
  <c r="X108" i="6"/>
  <c r="D108" i="6"/>
  <c r="B108" i="6"/>
  <c r="AB107" i="6"/>
  <c r="AA107" i="6"/>
  <c r="Y107" i="6"/>
  <c r="X107" i="6"/>
  <c r="K107" i="6"/>
  <c r="C107" i="6"/>
  <c r="M107" i="6" s="1"/>
  <c r="B107" i="6"/>
  <c r="D107" i="6" s="1"/>
  <c r="AB106" i="6"/>
  <c r="AA106" i="6"/>
  <c r="Y106" i="6"/>
  <c r="X106" i="6"/>
  <c r="K106" i="6"/>
  <c r="C106" i="6"/>
  <c r="M106" i="6" s="1"/>
  <c r="B106" i="6"/>
  <c r="D106" i="6" s="1"/>
  <c r="AB105" i="6"/>
  <c r="AA105" i="6"/>
  <c r="Y105" i="6"/>
  <c r="X105" i="6"/>
  <c r="M105" i="6"/>
  <c r="K105" i="6"/>
  <c r="C105" i="6"/>
  <c r="B105" i="6"/>
  <c r="D105" i="6" s="1"/>
  <c r="B104" i="6"/>
  <c r="D104" i="6" s="1"/>
  <c r="B103" i="6"/>
  <c r="D103" i="6" s="1"/>
  <c r="AB102" i="6"/>
  <c r="AA102" i="6"/>
  <c r="Y102" i="6"/>
  <c r="X102" i="6"/>
  <c r="K102" i="6"/>
  <c r="D102" i="6"/>
  <c r="B102" i="6"/>
  <c r="AB101" i="6"/>
  <c r="AA101" i="6"/>
  <c r="Y101" i="6"/>
  <c r="X101" i="6"/>
  <c r="M101" i="6"/>
  <c r="B101" i="6"/>
  <c r="D101" i="6" s="1"/>
  <c r="Y100" i="6"/>
  <c r="X100" i="6"/>
  <c r="M100" i="6"/>
  <c r="K100" i="6"/>
  <c r="D100" i="6"/>
  <c r="C100" i="6"/>
  <c r="B100" i="6"/>
  <c r="Y99" i="6"/>
  <c r="X99" i="6"/>
  <c r="K99" i="6"/>
  <c r="AB99" i="6" s="1"/>
  <c r="C99" i="6"/>
  <c r="M99" i="6" s="1"/>
  <c r="B99" i="6"/>
  <c r="Y98" i="6"/>
  <c r="X98" i="6"/>
  <c r="K98" i="6"/>
  <c r="AB98" i="6" s="1"/>
  <c r="C98" i="6"/>
  <c r="M98" i="6" s="1"/>
  <c r="B98" i="6"/>
  <c r="D98" i="6" s="1"/>
  <c r="D97" i="6"/>
  <c r="B97" i="6"/>
  <c r="AB96" i="6"/>
  <c r="AA96" i="6"/>
  <c r="Y96" i="6"/>
  <c r="X96" i="6"/>
  <c r="M96" i="6"/>
  <c r="B96" i="6"/>
  <c r="D96" i="6" s="1"/>
  <c r="AB95" i="6"/>
  <c r="Y95" i="6"/>
  <c r="X95" i="6"/>
  <c r="K95" i="6"/>
  <c r="AA95" i="6" s="1"/>
  <c r="C95" i="6"/>
  <c r="M95" i="6" s="1"/>
  <c r="B95" i="6"/>
  <c r="D95" i="6" s="1"/>
  <c r="AB94" i="6"/>
  <c r="AA94" i="6"/>
  <c r="Y94" i="6"/>
  <c r="X94" i="6"/>
  <c r="K94" i="6"/>
  <c r="C94" i="6"/>
  <c r="M94" i="6" s="1"/>
  <c r="B94" i="6"/>
  <c r="D94" i="6" s="1"/>
  <c r="AB93" i="6"/>
  <c r="AA93" i="6"/>
  <c r="Y93" i="6"/>
  <c r="X93" i="6"/>
  <c r="K93" i="6"/>
  <c r="C93" i="6"/>
  <c r="M93" i="6" s="1"/>
  <c r="B93" i="6"/>
  <c r="D93" i="6" s="1"/>
  <c r="D92" i="6"/>
  <c r="B92" i="6"/>
  <c r="AB91" i="6"/>
  <c r="AA91" i="6"/>
  <c r="Y91" i="6"/>
  <c r="X91" i="6"/>
  <c r="M91" i="6"/>
  <c r="B91" i="6"/>
  <c r="D91" i="6" s="1"/>
  <c r="AB90" i="6"/>
  <c r="AA90" i="6"/>
  <c r="Y90" i="6"/>
  <c r="X90" i="6"/>
  <c r="D90" i="6"/>
  <c r="B90" i="6"/>
  <c r="AB89" i="6"/>
  <c r="AA89" i="6"/>
  <c r="Y89" i="6"/>
  <c r="X89" i="6"/>
  <c r="B89" i="6"/>
  <c r="D89" i="6" s="1"/>
  <c r="AB88" i="6"/>
  <c r="AA88" i="6"/>
  <c r="Y88" i="6"/>
  <c r="X88" i="6"/>
  <c r="K88" i="6"/>
  <c r="C88" i="6"/>
  <c r="M88" i="6" s="1"/>
  <c r="B88" i="6"/>
  <c r="AB87" i="6"/>
  <c r="AA87" i="6"/>
  <c r="Y87" i="6"/>
  <c r="X87" i="6"/>
  <c r="K87" i="6"/>
  <c r="C87" i="6"/>
  <c r="M87" i="6" s="1"/>
  <c r="B87" i="6"/>
  <c r="D87" i="6" s="1"/>
  <c r="AB86" i="6"/>
  <c r="AA86" i="6"/>
  <c r="Y86" i="6"/>
  <c r="X86" i="6"/>
  <c r="K86" i="6"/>
  <c r="B86" i="6"/>
  <c r="B85" i="6"/>
  <c r="AB84" i="6"/>
  <c r="AA84" i="6"/>
  <c r="Y84" i="6"/>
  <c r="X84" i="6"/>
  <c r="B84" i="6"/>
  <c r="D84" i="6" s="1"/>
  <c r="AB83" i="6"/>
  <c r="AA83" i="6"/>
  <c r="Y83" i="6"/>
  <c r="X83" i="6"/>
  <c r="B83" i="6"/>
  <c r="D83" i="6" s="1"/>
  <c r="AB82" i="6"/>
  <c r="AA82" i="6"/>
  <c r="Y82" i="6"/>
  <c r="X82" i="6"/>
  <c r="B82" i="6"/>
  <c r="D82" i="6" s="1"/>
  <c r="AB81" i="6"/>
  <c r="AA81" i="6"/>
  <c r="Y81" i="6"/>
  <c r="X81" i="6"/>
  <c r="M81" i="6"/>
  <c r="K81" i="6"/>
  <c r="C81" i="6"/>
  <c r="B81" i="6"/>
  <c r="D81" i="6" s="1"/>
  <c r="AB80" i="6"/>
  <c r="Y80" i="6"/>
  <c r="X80" i="6"/>
  <c r="M80" i="6"/>
  <c r="K80" i="6"/>
  <c r="AA80" i="6" s="1"/>
  <c r="D80" i="6"/>
  <c r="C80" i="6"/>
  <c r="B80" i="6"/>
  <c r="AA79" i="6"/>
  <c r="Y79" i="6"/>
  <c r="X79" i="6"/>
  <c r="M79" i="6"/>
  <c r="K79" i="6"/>
  <c r="AB79" i="6" s="1"/>
  <c r="D79" i="6"/>
  <c r="C79" i="6"/>
  <c r="B79" i="6"/>
  <c r="D78" i="6"/>
  <c r="B78" i="6"/>
  <c r="AB77" i="6"/>
  <c r="AA77" i="6"/>
  <c r="Y77" i="6"/>
  <c r="X77" i="6"/>
  <c r="M77" i="6"/>
  <c r="D77" i="6"/>
  <c r="B77" i="6"/>
  <c r="Y76" i="6"/>
  <c r="X76" i="6"/>
  <c r="K76" i="6"/>
  <c r="C76" i="6"/>
  <c r="M76" i="6" s="1"/>
  <c r="B76" i="6"/>
  <c r="D76" i="6" s="1"/>
  <c r="Y75" i="6"/>
  <c r="X75" i="6"/>
  <c r="M75" i="6"/>
  <c r="K75" i="6"/>
  <c r="AA75" i="6" s="1"/>
  <c r="D75" i="6"/>
  <c r="C75" i="6"/>
  <c r="B75" i="6"/>
  <c r="Y74" i="6"/>
  <c r="X74" i="6"/>
  <c r="K74" i="6"/>
  <c r="AA74" i="6" s="1"/>
  <c r="C74" i="6"/>
  <c r="B74" i="6"/>
  <c r="B73" i="6"/>
  <c r="D73" i="6" s="1"/>
  <c r="D72" i="6"/>
  <c r="B72" i="6"/>
  <c r="Y71" i="6"/>
  <c r="X71" i="6"/>
  <c r="K71" i="6"/>
  <c r="B71" i="6"/>
  <c r="D71" i="6" s="1"/>
  <c r="AB70" i="6"/>
  <c r="AA70" i="6"/>
  <c r="Y70" i="6"/>
  <c r="X70" i="6"/>
  <c r="M70" i="6"/>
  <c r="D70" i="6"/>
  <c r="B70" i="6"/>
  <c r="AB69" i="6"/>
  <c r="AA69" i="6"/>
  <c r="Y69" i="6"/>
  <c r="X69" i="6"/>
  <c r="M69" i="6"/>
  <c r="K69" i="6"/>
  <c r="C69" i="6"/>
  <c r="B69" i="6"/>
  <c r="D69" i="6" s="1"/>
  <c r="AB68" i="6"/>
  <c r="AA68" i="6"/>
  <c r="Y68" i="6"/>
  <c r="X68" i="6"/>
  <c r="M68" i="6"/>
  <c r="K68" i="6"/>
  <c r="C68" i="6"/>
  <c r="B68" i="6"/>
  <c r="D68" i="6" s="1"/>
  <c r="AB67" i="6"/>
  <c r="Y67" i="6"/>
  <c r="X67" i="6"/>
  <c r="M67" i="6"/>
  <c r="K67" i="6"/>
  <c r="AA67" i="6" s="1"/>
  <c r="D67" i="6"/>
  <c r="C67" i="6"/>
  <c r="B67" i="6"/>
  <c r="B66" i="6"/>
  <c r="D66" i="6" s="1"/>
  <c r="AB65" i="6"/>
  <c r="AA65" i="6"/>
  <c r="Y65" i="6"/>
  <c r="X65" i="6"/>
  <c r="M65" i="6"/>
  <c r="D65" i="6"/>
  <c r="B65" i="6"/>
  <c r="Y64" i="6"/>
  <c r="X64" i="6"/>
  <c r="K64" i="6"/>
  <c r="AB64" i="6" s="1"/>
  <c r="D64" i="6"/>
  <c r="C64" i="6"/>
  <c r="M64" i="6" s="1"/>
  <c r="B64" i="6"/>
  <c r="Y63" i="6"/>
  <c r="X63" i="6"/>
  <c r="K63" i="6"/>
  <c r="C63" i="6"/>
  <c r="M63" i="6" s="1"/>
  <c r="B63" i="6"/>
  <c r="Y62" i="6"/>
  <c r="X62" i="6"/>
  <c r="M62" i="6"/>
  <c r="K62" i="6"/>
  <c r="AA62" i="6" s="1"/>
  <c r="C62" i="6"/>
  <c r="B62" i="6"/>
  <c r="D62" i="6" s="1"/>
  <c r="D61" i="6"/>
  <c r="B61" i="6"/>
  <c r="AB60" i="6"/>
  <c r="AA60" i="6"/>
  <c r="Y60" i="6"/>
  <c r="X60" i="6"/>
  <c r="M60" i="6"/>
  <c r="D60" i="6"/>
  <c r="B60" i="6"/>
  <c r="AB59" i="6"/>
  <c r="AA59" i="6"/>
  <c r="Y59" i="6"/>
  <c r="X59" i="6"/>
  <c r="K59" i="6"/>
  <c r="D59" i="6"/>
  <c r="C59" i="6"/>
  <c r="M59" i="6" s="1"/>
  <c r="B59" i="6"/>
  <c r="AB58" i="6"/>
  <c r="AA58" i="6"/>
  <c r="Y58" i="6"/>
  <c r="X58" i="6"/>
  <c r="K58" i="6"/>
  <c r="C58" i="6"/>
  <c r="M58" i="6" s="1"/>
  <c r="B58" i="6"/>
  <c r="D58" i="6" s="1"/>
  <c r="AB57" i="6"/>
  <c r="AA57" i="6"/>
  <c r="Y57" i="6"/>
  <c r="X57" i="6"/>
  <c r="M57" i="6"/>
  <c r="K57" i="6"/>
  <c r="C57" i="6"/>
  <c r="B57" i="6"/>
  <c r="D57" i="6" s="1"/>
  <c r="B56" i="6"/>
  <c r="D56" i="6" s="1"/>
  <c r="AB55" i="6"/>
  <c r="AA55" i="6"/>
  <c r="Y55" i="6"/>
  <c r="X55" i="6"/>
  <c r="M55" i="6"/>
  <c r="D55" i="6"/>
  <c r="B55" i="6"/>
  <c r="AB54" i="6"/>
  <c r="Y54" i="6"/>
  <c r="X54" i="6"/>
  <c r="M54" i="6"/>
  <c r="K54" i="6"/>
  <c r="AA54" i="6" s="1"/>
  <c r="D54" i="6"/>
  <c r="C54" i="6"/>
  <c r="B54" i="6"/>
  <c r="AA53" i="6"/>
  <c r="Y53" i="6"/>
  <c r="X53" i="6"/>
  <c r="M53" i="6"/>
  <c r="K53" i="6"/>
  <c r="AB53" i="6" s="1"/>
  <c r="D53" i="6"/>
  <c r="C53" i="6"/>
  <c r="B53" i="6"/>
  <c r="Y52" i="6"/>
  <c r="X52" i="6"/>
  <c r="M52" i="6"/>
  <c r="K52" i="6"/>
  <c r="AB52" i="6" s="1"/>
  <c r="C52" i="6"/>
  <c r="D52" i="6" s="1"/>
  <c r="B52" i="6"/>
  <c r="B51" i="6"/>
  <c r="AB50" i="6"/>
  <c r="AA50" i="6"/>
  <c r="Y50" i="6"/>
  <c r="X50" i="6"/>
  <c r="M50" i="6"/>
  <c r="B50" i="6"/>
  <c r="D50" i="6" s="1"/>
  <c r="AB49" i="6"/>
  <c r="AA49" i="6"/>
  <c r="Y49" i="6"/>
  <c r="X49" i="6"/>
  <c r="B49" i="6"/>
  <c r="D49" i="6" s="1"/>
  <c r="AB48" i="6"/>
  <c r="AA48" i="6"/>
  <c r="Y48" i="6"/>
  <c r="X48" i="6"/>
  <c r="D48" i="6"/>
  <c r="B48" i="6"/>
  <c r="Y47" i="6"/>
  <c r="X47" i="6"/>
  <c r="M47" i="6"/>
  <c r="K47" i="6"/>
  <c r="C47" i="6"/>
  <c r="B47" i="6"/>
  <c r="D47" i="6" s="1"/>
  <c r="Y46" i="6"/>
  <c r="X46" i="6"/>
  <c r="M46" i="6"/>
  <c r="K46" i="6"/>
  <c r="C46" i="6"/>
  <c r="B46" i="6"/>
  <c r="D46" i="6" s="1"/>
  <c r="Y45" i="6"/>
  <c r="X45" i="6"/>
  <c r="K45" i="6"/>
  <c r="AA45" i="6" s="1"/>
  <c r="C45" i="6"/>
  <c r="M45" i="6" s="1"/>
  <c r="B45" i="6"/>
  <c r="B44" i="6"/>
  <c r="D44" i="6" s="1"/>
  <c r="D43" i="6"/>
  <c r="B43" i="6"/>
  <c r="Y42" i="6"/>
  <c r="X42" i="6"/>
  <c r="K42" i="6"/>
  <c r="B42" i="6"/>
  <c r="D42" i="6" s="1"/>
  <c r="AB41" i="6"/>
  <c r="AA41" i="6"/>
  <c r="Y41" i="6"/>
  <c r="X41" i="6"/>
  <c r="M41" i="6"/>
  <c r="B41" i="6"/>
  <c r="D41" i="6" s="1"/>
  <c r="AB40" i="6"/>
  <c r="AA40" i="6"/>
  <c r="Y40" i="6"/>
  <c r="X40" i="6"/>
  <c r="M40" i="6"/>
  <c r="K40" i="6"/>
  <c r="C40" i="6"/>
  <c r="B40" i="6"/>
  <c r="D40" i="6" s="1"/>
  <c r="AB39" i="6"/>
  <c r="AA39" i="6"/>
  <c r="Y39" i="6"/>
  <c r="X39" i="6"/>
  <c r="M39" i="6"/>
  <c r="K39" i="6"/>
  <c r="C39" i="6"/>
  <c r="D39" i="6" s="1"/>
  <c r="B39" i="6"/>
  <c r="Y38" i="6"/>
  <c r="X38" i="6"/>
  <c r="M38" i="6"/>
  <c r="K38" i="6"/>
  <c r="AB38" i="6" s="1"/>
  <c r="D38" i="6"/>
  <c r="C38" i="6"/>
  <c r="B38" i="6"/>
  <c r="B37" i="6"/>
  <c r="D37" i="6" s="1"/>
  <c r="AB36" i="6"/>
  <c r="AA36" i="6"/>
  <c r="Y36" i="6"/>
  <c r="X36" i="6"/>
  <c r="M36" i="6"/>
  <c r="D36" i="6"/>
  <c r="B36" i="6"/>
  <c r="Y35" i="6"/>
  <c r="X35" i="6"/>
  <c r="M35" i="6"/>
  <c r="K35" i="6"/>
  <c r="D35" i="6"/>
  <c r="C35" i="6"/>
  <c r="B35" i="6"/>
  <c r="Y34" i="6"/>
  <c r="X34" i="6"/>
  <c r="M34" i="6"/>
  <c r="K34" i="6"/>
  <c r="C34" i="6"/>
  <c r="B34" i="6"/>
  <c r="D34" i="6" s="1"/>
  <c r="Y33" i="6"/>
  <c r="X33" i="6"/>
  <c r="K33" i="6"/>
  <c r="C33" i="6"/>
  <c r="M33" i="6" s="1"/>
  <c r="B33" i="6"/>
  <c r="D32" i="6"/>
  <c r="B32" i="6"/>
  <c r="AB31" i="6"/>
  <c r="AA31" i="6"/>
  <c r="Y31" i="6"/>
  <c r="X31" i="6"/>
  <c r="M31" i="6"/>
  <c r="B31" i="6"/>
  <c r="D31" i="6" s="1"/>
  <c r="AB30" i="6"/>
  <c r="AA30" i="6"/>
  <c r="Y30" i="6"/>
  <c r="X30" i="6"/>
  <c r="K30" i="6"/>
  <c r="C30" i="6"/>
  <c r="M30" i="6" s="1"/>
  <c r="B30" i="6"/>
  <c r="D30" i="6" s="1"/>
  <c r="AB29" i="6"/>
  <c r="AA29" i="6"/>
  <c r="Y29" i="6"/>
  <c r="X29" i="6"/>
  <c r="K29" i="6"/>
  <c r="C29" i="6"/>
  <c r="M29" i="6" s="1"/>
  <c r="B29" i="6"/>
  <c r="AB28" i="6"/>
  <c r="AA28" i="6"/>
  <c r="Y28" i="6"/>
  <c r="X28" i="6"/>
  <c r="M28" i="6"/>
  <c r="K28" i="6"/>
  <c r="C28" i="6"/>
  <c r="B28" i="6"/>
  <c r="D28" i="6" s="1"/>
  <c r="D27" i="6"/>
  <c r="B27" i="6"/>
  <c r="AB26" i="6"/>
  <c r="AA26" i="6"/>
  <c r="Y26" i="6"/>
  <c r="X26" i="6"/>
  <c r="M26" i="6"/>
  <c r="D26" i="6"/>
  <c r="B26" i="6"/>
  <c r="AB25" i="6"/>
  <c r="AA25" i="6"/>
  <c r="Y25" i="6"/>
  <c r="X25" i="6"/>
  <c r="M25" i="6"/>
  <c r="K25" i="6"/>
  <c r="D25" i="6"/>
  <c r="C25" i="6"/>
  <c r="B25" i="6"/>
  <c r="Y24" i="6"/>
  <c r="X24" i="6"/>
  <c r="K24" i="6"/>
  <c r="AB24" i="6" s="1"/>
  <c r="D24" i="6"/>
  <c r="C24" i="6"/>
  <c r="M24" i="6" s="1"/>
  <c r="B24" i="6"/>
  <c r="Y23" i="6"/>
  <c r="X23" i="6"/>
  <c r="K23" i="6"/>
  <c r="D23" i="6"/>
  <c r="C23" i="6"/>
  <c r="M23" i="6" s="1"/>
  <c r="B23" i="6"/>
  <c r="B22" i="6"/>
  <c r="D22" i="6" s="1"/>
  <c r="AB21" i="6"/>
  <c r="AA21" i="6"/>
  <c r="Y21" i="6"/>
  <c r="X21" i="6"/>
  <c r="M21" i="6"/>
  <c r="B21" i="6"/>
  <c r="D21" i="6" s="1"/>
  <c r="Y20" i="6"/>
  <c r="X20" i="6"/>
  <c r="M20" i="6"/>
  <c r="K20" i="6"/>
  <c r="AA20" i="6" s="1"/>
  <c r="D20" i="6"/>
  <c r="C20" i="6"/>
  <c r="B20" i="6"/>
  <c r="AA19" i="6"/>
  <c r="Y19" i="6"/>
  <c r="X19" i="6"/>
  <c r="K19" i="6"/>
  <c r="AB19" i="6" s="1"/>
  <c r="C19" i="6"/>
  <c r="M19" i="6" s="1"/>
  <c r="B19" i="6"/>
  <c r="D19" i="6" s="1"/>
  <c r="AB18" i="6"/>
  <c r="AA18" i="6"/>
  <c r="Y18" i="6"/>
  <c r="X18" i="6"/>
  <c r="K18" i="6"/>
  <c r="C18" i="6"/>
  <c r="M18" i="6" s="1"/>
  <c r="B18" i="6"/>
  <c r="D18" i="6" s="1"/>
  <c r="B17" i="6"/>
  <c r="D17" i="6" s="1"/>
  <c r="B16" i="6"/>
  <c r="D16" i="6" s="1"/>
  <c r="Y15" i="6"/>
  <c r="X15" i="6"/>
  <c r="K15" i="6"/>
  <c r="B15" i="6"/>
  <c r="D15" i="6" s="1"/>
  <c r="AB14" i="6"/>
  <c r="AA14" i="6"/>
  <c r="Y14" i="6"/>
  <c r="X14" i="6"/>
  <c r="D14" i="6"/>
  <c r="B14" i="6"/>
  <c r="AB13" i="6"/>
  <c r="Y13" i="6"/>
  <c r="X13" i="6"/>
  <c r="K13" i="6"/>
  <c r="AA13" i="6" s="1"/>
  <c r="B13" i="6"/>
  <c r="D13" i="6" s="1"/>
  <c r="Y12" i="6"/>
  <c r="X12" i="6"/>
  <c r="K12" i="6"/>
  <c r="D12" i="6"/>
  <c r="B12" i="6"/>
  <c r="AB11" i="6"/>
  <c r="AA11" i="6"/>
  <c r="Y11" i="6"/>
  <c r="X11" i="6"/>
  <c r="K11" i="6"/>
  <c r="B11" i="6"/>
  <c r="D11" i="6" s="1"/>
  <c r="B10" i="6"/>
  <c r="D10" i="6" s="1"/>
  <c r="D9" i="6"/>
  <c r="B9" i="6"/>
  <c r="B8" i="6"/>
  <c r="D8" i="6" s="1"/>
  <c r="AB7" i="6"/>
  <c r="AA7" i="6"/>
  <c r="X7" i="6"/>
  <c r="J7" i="6"/>
  <c r="Y7" i="6" s="1"/>
  <c r="B7" i="6"/>
  <c r="D7" i="6" s="1"/>
  <c r="AB6" i="6"/>
  <c r="AA6" i="6"/>
  <c r="Y6" i="6"/>
  <c r="X6" i="6"/>
  <c r="D6" i="6"/>
  <c r="B6" i="6"/>
  <c r="AB5" i="6"/>
  <c r="AA5" i="6"/>
  <c r="Y5" i="6"/>
  <c r="J5" i="6"/>
  <c r="D5" i="6"/>
  <c r="B5" i="6"/>
  <c r="Y4" i="6"/>
  <c r="X4" i="6"/>
  <c r="K4" i="6"/>
  <c r="D4" i="6"/>
  <c r="B4" i="6"/>
  <c r="AB3" i="6"/>
  <c r="AA3" i="6"/>
  <c r="Y3" i="6"/>
  <c r="D3" i="6"/>
  <c r="B3" i="6"/>
  <c r="B2" i="6"/>
  <c r="D2" i="6" s="1"/>
  <c r="G42" i="4"/>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8" i="4"/>
  <c r="G7" i="4"/>
  <c r="G6" i="4"/>
  <c r="G5" i="4"/>
  <c r="G4" i="4"/>
  <c r="C77" i="2"/>
  <c r="C75" i="2"/>
  <c r="C73" i="2"/>
  <c r="C71" i="2"/>
  <c r="C68" i="2"/>
  <c r="J155" i="1" s="1"/>
  <c r="C65" i="2"/>
  <c r="C62" i="2"/>
  <c r="C59" i="2"/>
  <c r="C58" i="2" s="1"/>
  <c r="J152" i="1" s="1"/>
  <c r="C56" i="2"/>
  <c r="C52" i="2"/>
  <c r="C48" i="2"/>
  <c r="C46" i="2"/>
  <c r="C45" i="2" s="1"/>
  <c r="C32" i="2"/>
  <c r="C25" i="2"/>
  <c r="C20" i="2"/>
  <c r="C19" i="2" s="1"/>
  <c r="C15" i="2"/>
  <c r="C10" i="2"/>
  <c r="C6" i="2" s="1"/>
  <c r="C3" i="2"/>
  <c r="AB181" i="1"/>
  <c r="AA181" i="1"/>
  <c r="Y181" i="1"/>
  <c r="X181" i="1"/>
  <c r="B181" i="1"/>
  <c r="D181" i="1" s="1"/>
  <c r="B180" i="1"/>
  <c r="D180" i="1" s="1"/>
  <c r="AB179" i="1"/>
  <c r="AA179" i="1"/>
  <c r="Y179" i="1"/>
  <c r="X179" i="1"/>
  <c r="B179" i="1"/>
  <c r="D179" i="1" s="1"/>
  <c r="B178" i="1"/>
  <c r="D178" i="1" s="1"/>
  <c r="B177" i="1"/>
  <c r="D177" i="1" s="1"/>
  <c r="B176" i="1"/>
  <c r="D176" i="1" s="1"/>
  <c r="D175" i="1"/>
  <c r="B175" i="1"/>
  <c r="B174" i="1"/>
  <c r="D174" i="1" s="1"/>
  <c r="B173" i="1"/>
  <c r="D173" i="1" s="1"/>
  <c r="B172" i="1"/>
  <c r="D172" i="1" s="1"/>
  <c r="B171" i="1"/>
  <c r="D171" i="1" s="1"/>
  <c r="B170" i="1"/>
  <c r="D170" i="1" s="1"/>
  <c r="B169" i="1"/>
  <c r="D169" i="1" s="1"/>
  <c r="J168" i="1"/>
  <c r="Y168" i="1" s="1"/>
  <c r="B168" i="1"/>
  <c r="D168" i="1" s="1"/>
  <c r="AB167" i="1"/>
  <c r="AA167" i="1"/>
  <c r="Y167" i="1"/>
  <c r="X167" i="1"/>
  <c r="D167" i="1"/>
  <c r="B167" i="1"/>
  <c r="AB166" i="1"/>
  <c r="AA166" i="1"/>
  <c r="Y166" i="1"/>
  <c r="X166" i="1"/>
  <c r="D166" i="1"/>
  <c r="B166" i="1"/>
  <c r="D165" i="1"/>
  <c r="B165" i="1"/>
  <c r="AB164" i="1"/>
  <c r="AA164" i="1"/>
  <c r="Y164" i="1"/>
  <c r="X164" i="1"/>
  <c r="B164" i="1"/>
  <c r="D164" i="1" s="1"/>
  <c r="AB163" i="1"/>
  <c r="AA163" i="1"/>
  <c r="Y163" i="1"/>
  <c r="X163" i="1"/>
  <c r="D163" i="1"/>
  <c r="B163" i="1"/>
  <c r="AB162" i="1"/>
  <c r="AA162" i="1"/>
  <c r="Y162" i="1"/>
  <c r="X162" i="1"/>
  <c r="D162" i="1"/>
  <c r="B162" i="1"/>
  <c r="D161" i="1"/>
  <c r="B161" i="1"/>
  <c r="D160" i="1"/>
  <c r="B160" i="1"/>
  <c r="B159" i="1"/>
  <c r="D159" i="1" s="1"/>
  <c r="B158" i="1"/>
  <c r="D158" i="1" s="1"/>
  <c r="AB157" i="1"/>
  <c r="AA157" i="1"/>
  <c r="Y157" i="1"/>
  <c r="X157" i="1"/>
  <c r="D157" i="1"/>
  <c r="B157" i="1"/>
  <c r="B156" i="1"/>
  <c r="D156" i="1" s="1"/>
  <c r="AB155" i="1"/>
  <c r="AA155" i="1"/>
  <c r="B155" i="1"/>
  <c r="D155" i="1" s="1"/>
  <c r="AB154" i="1"/>
  <c r="AA154" i="1"/>
  <c r="X154" i="1"/>
  <c r="J154" i="1"/>
  <c r="Y154" i="1" s="1"/>
  <c r="B154" i="1"/>
  <c r="D154" i="1" s="1"/>
  <c r="AB153" i="1"/>
  <c r="AA153" i="1"/>
  <c r="J153" i="1"/>
  <c r="X153" i="1" s="1"/>
  <c r="D153" i="1"/>
  <c r="B153" i="1"/>
  <c r="AB152" i="1"/>
  <c r="AA152" i="1"/>
  <c r="Y152" i="1"/>
  <c r="X152" i="1"/>
  <c r="D152" i="1"/>
  <c r="B152" i="1"/>
  <c r="D151" i="1"/>
  <c r="D150" i="1"/>
  <c r="D149" i="1"/>
  <c r="B149" i="1"/>
  <c r="AB148" i="1"/>
  <c r="AA148" i="1"/>
  <c r="Y148" i="1"/>
  <c r="X148" i="1"/>
  <c r="D148" i="1"/>
  <c r="B148" i="1"/>
  <c r="AB147" i="1"/>
  <c r="AA147" i="1"/>
  <c r="Y147" i="1"/>
  <c r="X147" i="1"/>
  <c r="D147" i="1"/>
  <c r="B147" i="1"/>
  <c r="AB146" i="1"/>
  <c r="AA146" i="1"/>
  <c r="Y146" i="1"/>
  <c r="X146" i="1"/>
  <c r="B146" i="1"/>
  <c r="D146" i="1" s="1"/>
  <c r="AB145" i="1"/>
  <c r="AA145" i="1"/>
  <c r="Y145" i="1"/>
  <c r="X145" i="1"/>
  <c r="D145" i="1"/>
  <c r="B145" i="1"/>
  <c r="AB144" i="1"/>
  <c r="AA144" i="1"/>
  <c r="Y144" i="1"/>
  <c r="X144" i="1"/>
  <c r="D144" i="1"/>
  <c r="B144" i="1"/>
  <c r="AB143" i="1"/>
  <c r="AA143" i="1"/>
  <c r="Y143" i="1"/>
  <c r="X143" i="1"/>
  <c r="D143" i="1"/>
  <c r="B143" i="1"/>
  <c r="AB142" i="1"/>
  <c r="AA142" i="1"/>
  <c r="Y142" i="1"/>
  <c r="X142" i="1"/>
  <c r="D142" i="1"/>
  <c r="B142" i="1"/>
  <c r="D141" i="1"/>
  <c r="B141" i="1"/>
  <c r="Y140" i="1"/>
  <c r="X140" i="1"/>
  <c r="K140" i="1"/>
  <c r="AA140" i="1" s="1"/>
  <c r="D140" i="1"/>
  <c r="B140" i="1"/>
  <c r="AB139" i="1"/>
  <c r="AA139" i="1"/>
  <c r="Y139" i="1"/>
  <c r="X139" i="1"/>
  <c r="K139" i="1"/>
  <c r="B139" i="1"/>
  <c r="D139" i="1" s="1"/>
  <c r="AB138" i="1"/>
  <c r="AA138" i="1"/>
  <c r="Y138" i="1"/>
  <c r="X138" i="1"/>
  <c r="K138" i="1"/>
  <c r="B138" i="1"/>
  <c r="D138" i="1" s="1"/>
  <c r="AA137" i="1"/>
  <c r="Y137" i="1"/>
  <c r="X137" i="1"/>
  <c r="K137" i="1"/>
  <c r="AB137" i="1" s="1"/>
  <c r="B137" i="1"/>
  <c r="D137" i="1" s="1"/>
  <c r="Y136" i="1"/>
  <c r="X136" i="1"/>
  <c r="K136" i="1"/>
  <c r="AA136" i="1" s="1"/>
  <c r="D136" i="1"/>
  <c r="B136" i="1"/>
  <c r="AB135" i="1"/>
  <c r="AA135" i="1"/>
  <c r="Y135" i="1"/>
  <c r="X135" i="1"/>
  <c r="K135" i="1"/>
  <c r="D135" i="1"/>
  <c r="B135" i="1"/>
  <c r="B134" i="1"/>
  <c r="D134" i="1" s="1"/>
  <c r="Y133" i="1"/>
  <c r="X133" i="1"/>
  <c r="B133" i="1"/>
  <c r="D133" i="1" s="1"/>
  <c r="AB132" i="1"/>
  <c r="AA132" i="1"/>
  <c r="Y132" i="1"/>
  <c r="X132" i="1"/>
  <c r="B132" i="1"/>
  <c r="D132" i="1" s="1"/>
  <c r="B131" i="1"/>
  <c r="D131" i="1" s="1"/>
  <c r="B130" i="1"/>
  <c r="D130" i="1" s="1"/>
  <c r="AB129" i="1"/>
  <c r="AA129" i="1"/>
  <c r="Y129" i="1"/>
  <c r="J129" i="1"/>
  <c r="X129" i="1" s="1"/>
  <c r="B129" i="1"/>
  <c r="D129" i="1" s="1"/>
  <c r="AB128" i="1"/>
  <c r="AA128" i="1"/>
  <c r="Y128" i="1"/>
  <c r="X128" i="1"/>
  <c r="B128" i="1"/>
  <c r="D128" i="1" s="1"/>
  <c r="Y127" i="1"/>
  <c r="X127" i="1"/>
  <c r="K127" i="1"/>
  <c r="AB127" i="1" s="1"/>
  <c r="D127" i="1"/>
  <c r="AB126" i="1"/>
  <c r="AA126" i="1"/>
  <c r="X126" i="1"/>
  <c r="J126" i="1"/>
  <c r="Y126" i="1" s="1"/>
  <c r="D126" i="1"/>
  <c r="B126" i="1"/>
  <c r="Y125" i="1"/>
  <c r="X125" i="1"/>
  <c r="B125" i="1"/>
  <c r="D125" i="1" s="1"/>
  <c r="Y124" i="1"/>
  <c r="X124" i="1"/>
  <c r="D124" i="1"/>
  <c r="B124" i="1"/>
  <c r="D123" i="1"/>
  <c r="B123" i="1"/>
  <c r="D122" i="1"/>
  <c r="B122" i="1"/>
  <c r="AA121" i="1"/>
  <c r="Y121" i="1"/>
  <c r="X121" i="1"/>
  <c r="K121" i="1"/>
  <c r="AB121" i="1" s="1"/>
  <c r="B121" i="1"/>
  <c r="D121" i="1" s="1"/>
  <c r="AB120" i="1"/>
  <c r="AA120" i="1"/>
  <c r="Y120" i="1"/>
  <c r="X120" i="1"/>
  <c r="B120" i="1"/>
  <c r="D120" i="1" s="1"/>
  <c r="B119" i="1"/>
  <c r="D119" i="1" s="1"/>
  <c r="AB118" i="1"/>
  <c r="AA118" i="1"/>
  <c r="B118" i="1"/>
  <c r="D118" i="1" s="1"/>
  <c r="AB117" i="1"/>
  <c r="AA117" i="1"/>
  <c r="Y117" i="1"/>
  <c r="X117" i="1"/>
  <c r="D117" i="1"/>
  <c r="B117" i="1"/>
  <c r="AB116" i="1"/>
  <c r="AA116" i="1"/>
  <c r="Y116" i="1"/>
  <c r="X116" i="1"/>
  <c r="B116" i="1"/>
  <c r="D116" i="1" s="1"/>
  <c r="AB115" i="1"/>
  <c r="AA115" i="1"/>
  <c r="Y115" i="1"/>
  <c r="X115" i="1"/>
  <c r="B115" i="1"/>
  <c r="D115" i="1" s="1"/>
  <c r="AB114" i="1"/>
  <c r="AA114" i="1"/>
  <c r="Y114" i="1"/>
  <c r="X114" i="1"/>
  <c r="B114" i="1"/>
  <c r="D114" i="1" s="1"/>
  <c r="AB113" i="1"/>
  <c r="AA113" i="1"/>
  <c r="Y113" i="1"/>
  <c r="X113" i="1"/>
  <c r="B113" i="1"/>
  <c r="D113" i="1" s="1"/>
  <c r="B112" i="1"/>
  <c r="D112" i="1" s="1"/>
  <c r="AB111" i="1"/>
  <c r="AA111" i="1"/>
  <c r="Y111" i="1"/>
  <c r="X111" i="1"/>
  <c r="B111" i="1"/>
  <c r="D111" i="1" s="1"/>
  <c r="AB110" i="1"/>
  <c r="AA110" i="1"/>
  <c r="Y110" i="1"/>
  <c r="X110" i="1"/>
  <c r="D110" i="1"/>
  <c r="B110" i="1"/>
  <c r="AB109" i="1"/>
  <c r="AA109" i="1"/>
  <c r="Y109" i="1"/>
  <c r="X109" i="1"/>
  <c r="B109" i="1"/>
  <c r="D109" i="1" s="1"/>
  <c r="AB108" i="1"/>
  <c r="AA108" i="1"/>
  <c r="Y108" i="1"/>
  <c r="X108" i="1"/>
  <c r="B108" i="1"/>
  <c r="D108" i="1" s="1"/>
  <c r="AB107" i="1"/>
  <c r="AA107" i="1"/>
  <c r="Y107" i="1"/>
  <c r="X107" i="1"/>
  <c r="B107" i="1"/>
  <c r="D107" i="1" s="1"/>
  <c r="AB106" i="1"/>
  <c r="AA106" i="1"/>
  <c r="Y106" i="1"/>
  <c r="X106" i="1"/>
  <c r="K106" i="1"/>
  <c r="D106" i="1"/>
  <c r="B106" i="1"/>
  <c r="D105" i="1"/>
  <c r="B105" i="1"/>
  <c r="D104" i="1"/>
  <c r="B104" i="1"/>
  <c r="AB103" i="1"/>
  <c r="AA103" i="1"/>
  <c r="B103" i="1"/>
  <c r="D103" i="1" s="1"/>
  <c r="AB102" i="1"/>
  <c r="AA102" i="1"/>
  <c r="D102" i="1"/>
  <c r="B102" i="1"/>
  <c r="AB101" i="1"/>
  <c r="AA101" i="1"/>
  <c r="B101" i="1"/>
  <c r="D101" i="1" s="1"/>
  <c r="AB100" i="1"/>
  <c r="AA100" i="1"/>
  <c r="D100" i="1"/>
  <c r="B100" i="1"/>
  <c r="AB99" i="1"/>
  <c r="AA99" i="1"/>
  <c r="D99" i="1"/>
  <c r="B99" i="1"/>
  <c r="AB98" i="1"/>
  <c r="AA98" i="1"/>
  <c r="K98" i="1"/>
  <c r="B98" i="1"/>
  <c r="D98" i="1" s="1"/>
  <c r="AB97" i="1"/>
  <c r="AA97" i="1"/>
  <c r="B97" i="1"/>
  <c r="D97" i="1" s="1"/>
  <c r="AB96" i="1"/>
  <c r="AA96" i="1"/>
  <c r="Y96" i="1"/>
  <c r="X96" i="1"/>
  <c r="N96" i="1"/>
  <c r="D96" i="1"/>
  <c r="B96" i="1"/>
  <c r="Y95" i="1"/>
  <c r="J95" i="1"/>
  <c r="X95" i="1" s="1"/>
  <c r="D95" i="1"/>
  <c r="B95" i="1"/>
  <c r="B94" i="1"/>
  <c r="D94" i="1" s="1"/>
  <c r="AB93" i="1"/>
  <c r="AA93" i="1"/>
  <c r="Y93" i="1"/>
  <c r="X93" i="1"/>
  <c r="D93" i="1"/>
  <c r="B93" i="1"/>
  <c r="AB92" i="1"/>
  <c r="AA92" i="1"/>
  <c r="Y92" i="1"/>
  <c r="X92" i="1"/>
  <c r="B92" i="1"/>
  <c r="D92" i="1" s="1"/>
  <c r="AB91" i="1"/>
  <c r="AA91" i="1"/>
  <c r="Y91" i="1"/>
  <c r="X91" i="1"/>
  <c r="B91" i="1"/>
  <c r="D91" i="1" s="1"/>
  <c r="AB90" i="1"/>
  <c r="AA90" i="1"/>
  <c r="Y90" i="1"/>
  <c r="X90" i="1"/>
  <c r="B90" i="1"/>
  <c r="D90" i="1" s="1"/>
  <c r="AB89" i="1"/>
  <c r="AA89" i="1"/>
  <c r="Y89" i="1"/>
  <c r="X89" i="1"/>
  <c r="B89" i="1"/>
  <c r="D89" i="1" s="1"/>
  <c r="Y88" i="1"/>
  <c r="X88" i="1"/>
  <c r="N88" i="1"/>
  <c r="K88" i="1"/>
  <c r="AB88" i="1" s="1"/>
  <c r="B88" i="1"/>
  <c r="D88" i="1" s="1"/>
  <c r="AB87" i="1"/>
  <c r="AA87" i="1"/>
  <c r="Y87" i="1"/>
  <c r="X87" i="1"/>
  <c r="B87" i="1"/>
  <c r="D87" i="1" s="1"/>
  <c r="AA86" i="1"/>
  <c r="Y86" i="1"/>
  <c r="X86" i="1"/>
  <c r="N86" i="1"/>
  <c r="K86" i="1"/>
  <c r="AB86" i="1" s="1"/>
  <c r="J86" i="1"/>
  <c r="B86" i="1"/>
  <c r="D86" i="1" s="1"/>
  <c r="B85" i="1"/>
  <c r="D85" i="1" s="1"/>
  <c r="D84" i="1"/>
  <c r="B84" i="1"/>
  <c r="AB83" i="1"/>
  <c r="AA83" i="1"/>
  <c r="Y83" i="1"/>
  <c r="X83" i="1"/>
  <c r="B83" i="1"/>
  <c r="D83" i="1" s="1"/>
  <c r="AB82" i="1"/>
  <c r="AA82" i="1"/>
  <c r="Y82" i="1"/>
  <c r="X82" i="1"/>
  <c r="D82" i="1"/>
  <c r="B82" i="1"/>
  <c r="AB81" i="1"/>
  <c r="Y81" i="1"/>
  <c r="X81" i="1"/>
  <c r="N81" i="1"/>
  <c r="K81" i="1"/>
  <c r="AA81" i="1" s="1"/>
  <c r="B81" i="1"/>
  <c r="D81" i="1" s="1"/>
  <c r="Y80" i="1"/>
  <c r="X80" i="1"/>
  <c r="N80" i="1"/>
  <c r="K80" i="1"/>
  <c r="AA80" i="1" s="1"/>
  <c r="B80" i="1"/>
  <c r="D80" i="1" s="1"/>
  <c r="AB79" i="1"/>
  <c r="AA79" i="1"/>
  <c r="Y79" i="1"/>
  <c r="X79" i="1"/>
  <c r="D79" i="1"/>
  <c r="B79" i="1"/>
  <c r="AB78" i="1"/>
  <c r="AA78" i="1"/>
  <c r="Y78" i="1"/>
  <c r="X78" i="1"/>
  <c r="N78" i="1"/>
  <c r="N95" i="1" s="1"/>
  <c r="K78" i="1"/>
  <c r="K95" i="1" s="1"/>
  <c r="D78" i="1"/>
  <c r="B78" i="1"/>
  <c r="Y77" i="1"/>
  <c r="X77" i="1"/>
  <c r="K77" i="1"/>
  <c r="AA77" i="1" s="1"/>
  <c r="B77" i="1"/>
  <c r="D77" i="1" s="1"/>
  <c r="AB76" i="1"/>
  <c r="AA76" i="1"/>
  <c r="Y76" i="1"/>
  <c r="X76" i="1"/>
  <c r="K76" i="1"/>
  <c r="B76" i="1"/>
  <c r="D76" i="1" s="1"/>
  <c r="D75" i="1"/>
  <c r="B75" i="1"/>
  <c r="B74" i="1"/>
  <c r="D74" i="1" s="1"/>
  <c r="AB73" i="1"/>
  <c r="AA73" i="1"/>
  <c r="Y73" i="1"/>
  <c r="X73" i="1"/>
  <c r="B73" i="1"/>
  <c r="D73" i="1" s="1"/>
  <c r="AB72" i="1"/>
  <c r="AA72" i="1"/>
  <c r="Y72" i="1"/>
  <c r="X72" i="1"/>
  <c r="D72" i="1"/>
  <c r="B72" i="1"/>
  <c r="Y71" i="1"/>
  <c r="X71" i="1"/>
  <c r="N71" i="1"/>
  <c r="K71" i="1"/>
  <c r="AA71" i="1" s="1"/>
  <c r="J71" i="1"/>
  <c r="B71" i="1"/>
  <c r="D71" i="1" s="1"/>
  <c r="AB70" i="1"/>
  <c r="AA70" i="1"/>
  <c r="Y70" i="1"/>
  <c r="X70" i="1"/>
  <c r="B70" i="1"/>
  <c r="D70" i="1" s="1"/>
  <c r="AB69" i="1"/>
  <c r="AA69" i="1"/>
  <c r="Y69" i="1"/>
  <c r="X69" i="1"/>
  <c r="B69" i="1"/>
  <c r="D69" i="1" s="1"/>
  <c r="Y68" i="1"/>
  <c r="X68" i="1"/>
  <c r="N68" i="1"/>
  <c r="K68" i="1"/>
  <c r="AB68" i="1" s="1"/>
  <c r="B68" i="1"/>
  <c r="D68" i="1" s="1"/>
  <c r="Y67" i="1"/>
  <c r="X67" i="1"/>
  <c r="N67" i="1"/>
  <c r="K67" i="1" s="1"/>
  <c r="B67" i="1"/>
  <c r="D67" i="1" s="1"/>
  <c r="B66" i="1"/>
  <c r="D66" i="1" s="1"/>
  <c r="D65" i="1"/>
  <c r="B65" i="1"/>
  <c r="B64" i="1"/>
  <c r="D64" i="1" s="1"/>
  <c r="Y63" i="1"/>
  <c r="X63" i="1"/>
  <c r="K63" i="1"/>
  <c r="AB63" i="1" s="1"/>
  <c r="B63" i="1"/>
  <c r="D63" i="1" s="1"/>
  <c r="AB62" i="1"/>
  <c r="Y62" i="1"/>
  <c r="X62" i="1"/>
  <c r="K62" i="1"/>
  <c r="AA62" i="1" s="1"/>
  <c r="D62" i="1"/>
  <c r="B62" i="1"/>
  <c r="AB61" i="1"/>
  <c r="AA61" i="1"/>
  <c r="Y61" i="1"/>
  <c r="X61" i="1"/>
  <c r="K61" i="1"/>
  <c r="B61" i="1"/>
  <c r="D61" i="1" s="1"/>
  <c r="B60" i="1"/>
  <c r="D60" i="1" s="1"/>
  <c r="AB59" i="1"/>
  <c r="AA59" i="1"/>
  <c r="Y59" i="1"/>
  <c r="X59" i="1"/>
  <c r="K59" i="1"/>
  <c r="B59" i="1"/>
  <c r="D59" i="1" s="1"/>
  <c r="AB58" i="1"/>
  <c r="AA58" i="1"/>
  <c r="Y58" i="1"/>
  <c r="X58" i="1"/>
  <c r="K58" i="1"/>
  <c r="B58" i="1"/>
  <c r="D58" i="1" s="1"/>
  <c r="Y57" i="1"/>
  <c r="X57" i="1"/>
  <c r="K57" i="1"/>
  <c r="AA57" i="1" s="1"/>
  <c r="D57" i="1"/>
  <c r="B57" i="1"/>
  <c r="D56" i="1"/>
  <c r="B56" i="1"/>
  <c r="B55" i="1"/>
  <c r="D55" i="1" s="1"/>
  <c r="Y54" i="1"/>
  <c r="X54" i="1"/>
  <c r="K54" i="1"/>
  <c r="AB54" i="1" s="1"/>
  <c r="D54" i="1"/>
  <c r="B54" i="1"/>
  <c r="AB53" i="1"/>
  <c r="AA53" i="1"/>
  <c r="Y53" i="1"/>
  <c r="X53" i="1"/>
  <c r="K53" i="1"/>
  <c r="B53" i="1"/>
  <c r="D53" i="1" s="1"/>
  <c r="AB52" i="1"/>
  <c r="AA52" i="1"/>
  <c r="Y52" i="1"/>
  <c r="X52" i="1"/>
  <c r="K52" i="1"/>
  <c r="B52" i="1"/>
  <c r="D52" i="1" s="1"/>
  <c r="B51" i="1"/>
  <c r="D51" i="1" s="1"/>
  <c r="D50" i="1"/>
  <c r="B50" i="1"/>
  <c r="Y49" i="1"/>
  <c r="X49" i="1"/>
  <c r="N49" i="1"/>
  <c r="K49" i="1"/>
  <c r="AB49" i="1" s="1"/>
  <c r="B49" i="1"/>
  <c r="D49" i="1" s="1"/>
  <c r="AB48" i="1"/>
  <c r="Y48" i="1"/>
  <c r="X48" i="1"/>
  <c r="K48" i="1"/>
  <c r="AA48" i="1" s="1"/>
  <c r="B48" i="1"/>
  <c r="D48" i="1" s="1"/>
  <c r="AB47" i="1"/>
  <c r="Y47" i="1"/>
  <c r="X47" i="1"/>
  <c r="K47" i="1"/>
  <c r="AA47" i="1" s="1"/>
  <c r="D47" i="1"/>
  <c r="B47" i="1"/>
  <c r="AB46" i="1"/>
  <c r="AA46" i="1"/>
  <c r="Y46" i="1"/>
  <c r="X46" i="1"/>
  <c r="K46" i="1"/>
  <c r="B46" i="1"/>
  <c r="D46" i="1" s="1"/>
  <c r="B45" i="1"/>
  <c r="D45" i="1" s="1"/>
  <c r="B44" i="1"/>
  <c r="D44" i="1" s="1"/>
  <c r="AB43" i="1"/>
  <c r="AA43" i="1"/>
  <c r="Y43" i="1"/>
  <c r="X43" i="1"/>
  <c r="K43" i="1"/>
  <c r="D43" i="1"/>
  <c r="B43" i="1"/>
  <c r="AB42" i="1"/>
  <c r="Y42" i="1"/>
  <c r="X42" i="1"/>
  <c r="K42" i="1"/>
  <c r="AA42" i="1" s="1"/>
  <c r="D42" i="1"/>
  <c r="B42" i="1"/>
  <c r="AB41" i="1"/>
  <c r="AA41" i="1"/>
  <c r="Y41" i="1"/>
  <c r="X41" i="1"/>
  <c r="K41" i="1"/>
  <c r="D41" i="1"/>
  <c r="B41" i="1"/>
  <c r="B40" i="1"/>
  <c r="D40" i="1" s="1"/>
  <c r="Y39" i="1"/>
  <c r="X39" i="1"/>
  <c r="K39" i="1"/>
  <c r="AB39" i="1" s="1"/>
  <c r="B39" i="1"/>
  <c r="D39" i="1" s="1"/>
  <c r="AB38" i="1"/>
  <c r="AA38" i="1"/>
  <c r="Y38" i="1"/>
  <c r="X38" i="1"/>
  <c r="K38" i="1"/>
  <c r="D38" i="1"/>
  <c r="B38" i="1"/>
  <c r="AB37" i="1"/>
  <c r="Y37" i="1"/>
  <c r="X37" i="1"/>
  <c r="K37" i="1"/>
  <c r="AA37" i="1" s="1"/>
  <c r="D37" i="1"/>
  <c r="B37" i="1"/>
  <c r="B36" i="1"/>
  <c r="D36" i="1" s="1"/>
  <c r="B35" i="1"/>
  <c r="D35" i="1" s="1"/>
  <c r="B34" i="1"/>
  <c r="D34" i="1" s="1"/>
  <c r="AB33" i="1"/>
  <c r="AA33" i="1"/>
  <c r="Y33" i="1"/>
  <c r="X33" i="1"/>
  <c r="K33" i="1"/>
  <c r="D33" i="1"/>
  <c r="B33" i="1"/>
  <c r="AB32" i="1"/>
  <c r="Y32" i="1"/>
  <c r="X32" i="1"/>
  <c r="K32" i="1"/>
  <c r="AA32" i="1" s="1"/>
  <c r="D32" i="1"/>
  <c r="B32" i="1"/>
  <c r="AB31" i="1"/>
  <c r="AA31" i="1"/>
  <c r="Y31" i="1"/>
  <c r="X31" i="1"/>
  <c r="K31" i="1"/>
  <c r="D31" i="1"/>
  <c r="B31" i="1"/>
  <c r="AB30" i="1"/>
  <c r="AA30" i="1"/>
  <c r="Y30" i="1"/>
  <c r="X30" i="1"/>
  <c r="K30" i="1"/>
  <c r="B30" i="1"/>
  <c r="D30" i="1" s="1"/>
  <c r="B29" i="1"/>
  <c r="D29" i="1" s="1"/>
  <c r="AB28" i="1"/>
  <c r="AA28" i="1"/>
  <c r="Y28" i="1"/>
  <c r="X28" i="1"/>
  <c r="K28" i="1"/>
  <c r="D28" i="1"/>
  <c r="B28" i="1"/>
  <c r="AB27" i="1"/>
  <c r="Y27" i="1"/>
  <c r="X27" i="1"/>
  <c r="K27" i="1"/>
  <c r="AA27" i="1" s="1"/>
  <c r="D27" i="1"/>
  <c r="B27" i="1"/>
  <c r="AB26" i="1"/>
  <c r="AA26" i="1"/>
  <c r="Y26" i="1"/>
  <c r="X26" i="1"/>
  <c r="K26" i="1"/>
  <c r="D26" i="1"/>
  <c r="B26" i="1"/>
  <c r="B25" i="1"/>
  <c r="D25" i="1" s="1"/>
  <c r="Y24" i="1"/>
  <c r="X24" i="1"/>
  <c r="K24" i="1"/>
  <c r="AB24" i="1" s="1"/>
  <c r="B24" i="1"/>
  <c r="D24" i="1" s="1"/>
  <c r="AB23" i="1"/>
  <c r="AA23" i="1"/>
  <c r="Y23" i="1"/>
  <c r="X23" i="1"/>
  <c r="K23" i="1"/>
  <c r="D23" i="1"/>
  <c r="B23" i="1"/>
  <c r="AB22" i="1"/>
  <c r="Y22" i="1"/>
  <c r="X22" i="1"/>
  <c r="K22" i="1"/>
  <c r="AA22" i="1" s="1"/>
  <c r="D22" i="1"/>
  <c r="B22" i="1"/>
  <c r="B21" i="1"/>
  <c r="D21" i="1" s="1"/>
  <c r="B20" i="1"/>
  <c r="D20" i="1" s="1"/>
  <c r="Y19" i="1"/>
  <c r="X19" i="1"/>
  <c r="K19" i="1"/>
  <c r="AB19" i="1" s="1"/>
  <c r="B19" i="1"/>
  <c r="D19" i="1" s="1"/>
  <c r="AB18" i="1"/>
  <c r="AA18" i="1"/>
  <c r="Y18" i="1"/>
  <c r="X18" i="1"/>
  <c r="K18" i="1"/>
  <c r="B18" i="1"/>
  <c r="D18" i="1" s="1"/>
  <c r="AB17" i="1"/>
  <c r="Y17" i="1"/>
  <c r="X17" i="1"/>
  <c r="K17" i="1"/>
  <c r="AA17" i="1" s="1"/>
  <c r="D17" i="1"/>
  <c r="B17" i="1"/>
  <c r="AB16" i="1"/>
  <c r="AA16" i="1"/>
  <c r="Y16" i="1"/>
  <c r="X16" i="1"/>
  <c r="K16" i="1"/>
  <c r="B16" i="1"/>
  <c r="D16" i="1" s="1"/>
  <c r="AB15" i="1"/>
  <c r="AA15" i="1"/>
  <c r="Y15" i="1"/>
  <c r="X15" i="1"/>
  <c r="K15" i="1"/>
  <c r="B15" i="1"/>
  <c r="D15" i="1" s="1"/>
  <c r="B14" i="1"/>
  <c r="D14" i="1" s="1"/>
  <c r="AB13" i="1"/>
  <c r="AA13" i="1"/>
  <c r="Y13" i="1"/>
  <c r="X13" i="1"/>
  <c r="K13" i="1"/>
  <c r="B13" i="1"/>
  <c r="D13" i="1" s="1"/>
  <c r="AB12" i="1"/>
  <c r="Y12" i="1"/>
  <c r="X12" i="1"/>
  <c r="K12" i="1"/>
  <c r="AA12" i="1" s="1"/>
  <c r="D12" i="1"/>
  <c r="B12" i="1"/>
  <c r="AB11" i="1"/>
  <c r="AA11" i="1"/>
  <c r="Y11" i="1"/>
  <c r="X11" i="1"/>
  <c r="K11" i="1"/>
  <c r="B11" i="1"/>
  <c r="D11" i="1" s="1"/>
  <c r="B10" i="1"/>
  <c r="D10" i="1" s="1"/>
  <c r="B9" i="1"/>
  <c r="D9" i="1" s="1"/>
  <c r="B8" i="1"/>
  <c r="D8" i="1" s="1"/>
  <c r="AB7" i="1"/>
  <c r="AA7" i="1"/>
  <c r="X7" i="1"/>
  <c r="J7" i="1"/>
  <c r="Y7" i="1" s="1"/>
  <c r="D7" i="1"/>
  <c r="B7" i="1"/>
  <c r="AB6" i="1"/>
  <c r="AA6" i="1"/>
  <c r="Y6" i="1"/>
  <c r="X6" i="1"/>
  <c r="B6" i="1"/>
  <c r="D6" i="1" s="1"/>
  <c r="AB5" i="1"/>
  <c r="AA5" i="1"/>
  <c r="Y5" i="1"/>
  <c r="J5" i="1" s="1"/>
  <c r="X5" i="1"/>
  <c r="B5" i="1"/>
  <c r="D5" i="1" s="1"/>
  <c r="AB4" i="1"/>
  <c r="Y4" i="1"/>
  <c r="X4" i="1"/>
  <c r="K4" i="1"/>
  <c r="AA4" i="1" s="1"/>
  <c r="D4" i="1"/>
  <c r="B4" i="1"/>
  <c r="AB3" i="1"/>
  <c r="AA3" i="1"/>
  <c r="Y3" i="1"/>
  <c r="X3" i="1"/>
  <c r="B3" i="1"/>
  <c r="D3" i="1" s="1"/>
  <c r="D2" i="1"/>
  <c r="B2" i="1"/>
  <c r="D88" i="6" l="1"/>
  <c r="D86" i="6"/>
  <c r="C5" i="2"/>
  <c r="X155" i="1"/>
  <c r="Y155" i="1"/>
  <c r="AB67" i="1"/>
  <c r="AA67" i="1"/>
  <c r="AA95" i="1"/>
  <c r="AB95" i="1"/>
  <c r="AB4" i="6"/>
  <c r="AA4" i="6"/>
  <c r="D33" i="6"/>
  <c r="D45" i="6"/>
  <c r="AB63" i="6"/>
  <c r="AA63" i="6"/>
  <c r="AB71" i="6"/>
  <c r="AA71" i="6"/>
  <c r="AB100" i="6"/>
  <c r="AA100" i="6"/>
  <c r="AB129" i="6"/>
  <c r="AA129" i="6"/>
  <c r="AB153" i="6"/>
  <c r="AA153" i="6"/>
  <c r="AA33" i="6"/>
  <c r="AB33" i="6"/>
  <c r="AB42" i="6"/>
  <c r="AA42" i="6"/>
  <c r="AB196" i="6"/>
  <c r="AA196" i="6"/>
  <c r="AA63" i="1"/>
  <c r="AB77" i="1"/>
  <c r="AB74" i="6"/>
  <c r="AB76" i="6"/>
  <c r="AA76" i="6"/>
  <c r="AB128" i="6"/>
  <c r="AA128" i="6"/>
  <c r="AA19" i="1"/>
  <c r="AA49" i="1"/>
  <c r="AA68" i="1"/>
  <c r="AB71" i="1"/>
  <c r="AB80" i="1"/>
  <c r="K124" i="1"/>
  <c r="AA127" i="1"/>
  <c r="AB136" i="1"/>
  <c r="X168" i="1"/>
  <c r="D99" i="6"/>
  <c r="AB15" i="6"/>
  <c r="AA15" i="6"/>
  <c r="AB20" i="6"/>
  <c r="D29" i="6"/>
  <c r="AA38" i="6"/>
  <c r="AB45" i="6"/>
  <c r="AB47" i="6"/>
  <c r="AA47" i="6"/>
  <c r="C55" i="2"/>
  <c r="AB35" i="6"/>
  <c r="AA35" i="6"/>
  <c r="AB193" i="6"/>
  <c r="AA193" i="6"/>
  <c r="Y153" i="1"/>
  <c r="AB12" i="6"/>
  <c r="AA12" i="6"/>
  <c r="AB23" i="6"/>
  <c r="AA23" i="6"/>
  <c r="AA24" i="1"/>
  <c r="AA39" i="1"/>
  <c r="C14" i="2"/>
  <c r="C13" i="2" s="1"/>
  <c r="AA24" i="6"/>
  <c r="AA54" i="1"/>
  <c r="AB57" i="1"/>
  <c r="AA88" i="1"/>
  <c r="AB140" i="1"/>
  <c r="AB34" i="6"/>
  <c r="AA34" i="6"/>
  <c r="AA46" i="6"/>
  <c r="AB46" i="6"/>
  <c r="D63" i="6"/>
  <c r="M74" i="6"/>
  <c r="D74" i="6"/>
  <c r="AB117" i="6"/>
  <c r="AA117" i="6"/>
  <c r="AB191" i="6"/>
  <c r="AA191" i="6"/>
  <c r="AB227" i="6"/>
  <c r="AA227" i="6"/>
  <c r="AB62" i="6"/>
  <c r="AB75" i="6"/>
  <c r="AB113" i="6"/>
  <c r="AB124" i="6"/>
  <c r="AB131" i="6"/>
  <c r="AB206" i="6"/>
  <c r="AB229" i="6"/>
  <c r="AA52" i="6"/>
  <c r="AA64" i="6"/>
  <c r="AA99" i="6"/>
  <c r="AA127" i="6"/>
  <c r="AA152" i="6"/>
  <c r="AA98" i="6"/>
  <c r="AA114" i="6"/>
  <c r="AA150" i="6"/>
  <c r="AA155" i="6"/>
  <c r="AA195" i="6"/>
  <c r="AA211" i="6"/>
  <c r="AA226" i="6"/>
  <c r="AB124" i="1" l="1"/>
  <c r="K125" i="1"/>
  <c r="AA124" i="1"/>
  <c r="AB125" i="1" l="1"/>
  <c r="AA125"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tc={14B9AD5A-4980-0741-8976-E2B49F6BC03E}</author>
  </authors>
  <commentList>
    <comment ref="A2" authorId="0" shapeId="0" xr:uid="{14B9AD5A-4980-0741-8976-E2B49F6BC03E}">
      <text>
        <t>[Threaded comment]
Your version of Excel allows you to read this threaded comment; however, any edits to it will get removed if the file is opened in a newer version of Excel. Learn more: https://go.microsoft.com/fwlink/?linkid=870924
Comment:
    The year 1978 was estimated: I fit a straight line to ln(factor) vs year using your early data (1985–1995)</t>
      </text>
    </comment>
  </commentList>
</comments>
</file>

<file path=xl/sharedStrings.xml><?xml version="1.0" encoding="utf-8"?>
<sst xmlns="http://schemas.openxmlformats.org/spreadsheetml/2006/main" count="4617" uniqueCount="716">
  <si>
    <t>Account</t>
  </si>
  <si>
    <t>Level</t>
  </si>
  <si>
    <t>Account Name</t>
  </si>
  <si>
    <t>Account Title</t>
  </si>
  <si>
    <t>Standard Cost Equation?</t>
  </si>
  <si>
    <t>Optional Variable</t>
  </si>
  <si>
    <t>Optional Value</t>
  </si>
  <si>
    <t>Sec Optional Variable</t>
  </si>
  <si>
    <t>Sec Optional Value</t>
  </si>
  <si>
    <t>Fixed Cost ($)</t>
  </si>
  <si>
    <t>Unit Cost</t>
  </si>
  <si>
    <t>Unit Cost (units)</t>
  </si>
  <si>
    <t>Scaling Variable</t>
  </si>
  <si>
    <t>Scaling Variable Ref Value</t>
  </si>
  <si>
    <t>Units</t>
  </si>
  <si>
    <t>Exponent</t>
  </si>
  <si>
    <t>Dollar Year</t>
  </si>
  <si>
    <t>Type</t>
  </si>
  <si>
    <t>Source</t>
  </si>
  <si>
    <t>Ref</t>
  </si>
  <si>
    <t>Link</t>
  </si>
  <si>
    <t>Notes</t>
  </si>
  <si>
    <t>FOAK to NOAK Multiplier Type</t>
  </si>
  <si>
    <t>Fixed Cost Low End</t>
  </si>
  <si>
    <t>Fixed Cost High End</t>
  </si>
  <si>
    <t>Fixed Cost Distribution</t>
  </si>
  <si>
    <t>Unit Cost Low End</t>
  </si>
  <si>
    <t>Unit Cost High End</t>
  </si>
  <si>
    <t>Unit Cost Distribution</t>
  </si>
  <si>
    <t>Exponent std</t>
  </si>
  <si>
    <t>Exponent Max</t>
  </si>
  <si>
    <t>Exponent Min</t>
  </si>
  <si>
    <t>Exponent Distribution</t>
  </si>
  <si>
    <t>Capitalized Pre-Construction Costs</t>
  </si>
  <si>
    <t>Land Cost</t>
  </si>
  <si>
    <t>standard</t>
  </si>
  <si>
    <t>$/acres</t>
  </si>
  <si>
    <t>Land Area</t>
  </si>
  <si>
    <t>acres</t>
  </si>
  <si>
    <t>General</t>
  </si>
  <si>
    <t>The average cost per acre for rural land in 2022 from the US Department of Agriculture</t>
  </si>
  <si>
    <t>Abou-Jaoude, A., Lohse, C. S., Larsen, L. M., Guaita, N., Trivedi, I., Joseck, F. C., ... &amp; Stein, A. (2024). Meta-analysis of advanced nuclear reactor cost estimations (No. INL/RPT-24-77048-Rev001). Idaho National Laboratory (INL), Idaho Falls, ID (United States).</t>
  </si>
  <si>
    <t>https://inldigitallibrary.inl.gov/sites/sti/sti/Sort_107010.pdf</t>
  </si>
  <si>
    <t>No Learning</t>
  </si>
  <si>
    <t>Lognormal</t>
  </si>
  <si>
    <t>0.1</t>
  </si>
  <si>
    <t>1</t>
  </si>
  <si>
    <t>0</t>
  </si>
  <si>
    <t>Truncated Normal</t>
  </si>
  <si>
    <t>Site Permits</t>
  </si>
  <si>
    <t>$/MWe</t>
  </si>
  <si>
    <t>Power MWe</t>
  </si>
  <si>
    <t>MWe</t>
  </si>
  <si>
    <t>Labor</t>
  </si>
  <si>
    <t>Data from SMR MHTGRs</t>
  </si>
  <si>
    <t>Plant Licensing</t>
  </si>
  <si>
    <t>NRC Website</t>
  </si>
  <si>
    <t xml:space="preserve">Using data from the NRC website that the cost is between 45 and 70M
https://www.nrc.gov/about-nrc/regulatory/licensing/general-fee-questions.pdf
Also, using recent change to the NRC fees by a factor of 0.47
https://ignition-news.com/the-nrc-passes-new-rules-for-advanced-reactor-companies/#:~:text=Under%20a%20rule%20published%20in,2024%2C%20which%20takes%20effect%20Oct. </t>
  </si>
  <si>
    <t>https://art.inl.gov/NGNP/INL%20Documents/Year%202012/Assessment%20of%20High%20Temperature%20Gas-Cooled%20Reactor%20-%20HTGR%20-%20Capital%20and%20Operating%20Costs.pdf</t>
  </si>
  <si>
    <t>Licensing Learning</t>
  </si>
  <si>
    <t>Uniform</t>
  </si>
  <si>
    <t>Plant Permits</t>
  </si>
  <si>
    <t>NGNP project</t>
  </si>
  <si>
    <t>Gandrik, A., B. Wallace, L. Demick, S. Melancon and M. Patterson (2011). "Assessment of high temperature gas-cooled reactor (HTGR) capital and operating costs." Idaho National Laboratory, TEV-1196, Idaho Falls, ID.</t>
  </si>
  <si>
    <t>Plant Studies</t>
  </si>
  <si>
    <t>MARVEL Project (Labor-adjusted Cost)</t>
  </si>
  <si>
    <t>Hanna, B. N., Gonzaga de Oliveira, R. G., Mohammad Al Dawood, K. A., Patterson, M. D., Abou Jaoude, A., &amp; Garcia, S. (2024). Technoeconomic Evaluation of Microreactor Using Detailed Bottom-up Estimate (No. INL/RPT-24-80433-Rev000). Idaho National Laboratory (INL), Idaho Falls, ID (United States).</t>
  </si>
  <si>
    <t>https://inldigitallibrary.inl.gov/sites/sti/sti/Sort_129862.pdf</t>
  </si>
  <si>
    <t>MARVEL's data were updated</t>
  </si>
  <si>
    <t>Capitalized Direct Costs</t>
  </si>
  <si>
    <t>Structures and Improvements</t>
  </si>
  <si>
    <t>Site Preparation/ Yard Work</t>
  </si>
  <si>
    <t>Cleaning and Grubbing</t>
  </si>
  <si>
    <t>Lab and Equip</t>
  </si>
  <si>
    <t>RSMeans software: a tool that primarily provides costs for non-nuclear work
Nuclear Multiplier have been applied to adjust the costs for nuclear-site-related work</t>
  </si>
  <si>
    <t>GORDIAN. (2024). "RSMeans data. 
&amp;
Delene, J. G. and I. Hudson, C. R. (1993). Cost estimate guidelines for advanced nuclear power technologies. United States, Oak Ridge National Lab. (ORNL), Oak Ridge, TN (United States): Medium: ED; Size: 159 p.</t>
  </si>
  <si>
    <t>https://www.rsmeans.com/
&amp;
https://www.osti.gov/biblio/10176857</t>
  </si>
  <si>
    <t>Onsite Learning</t>
  </si>
  <si>
    <t>Stripping Topsoil</t>
  </si>
  <si>
    <t>Excavation</t>
  </si>
  <si>
    <t>$/m^3</t>
  </si>
  <si>
    <t>Excavation Volume</t>
  </si>
  <si>
    <t>m^3</t>
  </si>
  <si>
    <t>Reactor Island Civil Structures</t>
  </si>
  <si>
    <t>Reactor Building Slab Roof</t>
  </si>
  <si>
    <t>Reactor Building Slab Roof Volume</t>
  </si>
  <si>
    <t>Lab and Mat and Equip</t>
  </si>
  <si>
    <t>Reactor Building Basement</t>
  </si>
  <si>
    <t>Reactor Building Basement Volume</t>
  </si>
  <si>
    <t>Reactor Building Walls</t>
  </si>
  <si>
    <t>Reactor Building Exterior Walls Volume</t>
  </si>
  <si>
    <t>Reactor Building Liner</t>
  </si>
  <si>
    <t>$/m^2</t>
  </si>
  <si>
    <t>Reactor Building Superstructure Area</t>
  </si>
  <si>
    <t>m^2</t>
  </si>
  <si>
    <t>Stewart W.R., Shirvan K., "Capital cost estimation for advanced nuclear power plants," Renewable and Sustainable Energy Reviews, Nov. 2021, 111880</t>
  </si>
  <si>
    <t>https://doi.org/10.1016/j.rser.2021.111880</t>
  </si>
  <si>
    <t>Reactor Building HVAC</t>
  </si>
  <si>
    <t>$/MWt</t>
  </si>
  <si>
    <t>Power MWt</t>
  </si>
  <si>
    <t>MWt</t>
  </si>
  <si>
    <t>Main Function Buildings</t>
  </si>
  <si>
    <t>Energy conversion Building</t>
  </si>
  <si>
    <t>Energy Conversion Building Slab Roof</t>
  </si>
  <si>
    <t>Turbine Building Slab Roof Volume</t>
  </si>
  <si>
    <t xml:space="preserve">RSMeans software: a tool that primarily provides costs for non-nuclear work
</t>
  </si>
  <si>
    <t>Energy Conversion Building Basement</t>
  </si>
  <si>
    <t>Turbine Building Basement Volume</t>
  </si>
  <si>
    <t>Energy Conversion Building Walls</t>
  </si>
  <si>
    <t>Turbine Building Exterior Walls Volume</t>
  </si>
  <si>
    <t>Control building</t>
  </si>
  <si>
    <t>Control Building Slab Roof</t>
  </si>
  <si>
    <t>Control Building Slab Roof Volume</t>
  </si>
  <si>
    <t>Control Building Basement</t>
  </si>
  <si>
    <t>Control Building Basement Volume</t>
  </si>
  <si>
    <t>Control Building Walls</t>
  </si>
  <si>
    <t>Control Building Exterior Walls Volume</t>
  </si>
  <si>
    <t>Integrated Heat Exchanger Building</t>
  </si>
  <si>
    <t>reactor type</t>
  </si>
  <si>
    <t>GCMR</t>
  </si>
  <si>
    <t>Integrated Heat Exchanger Building Slab Roof</t>
  </si>
  <si>
    <t>Integrated Heat Exchanger Building Slab Roof Volume</t>
  </si>
  <si>
    <t>Integrated Heat Exchanger Building Basement</t>
  </si>
  <si>
    <t>Integrated Heat Exchanger Building Basement Volume</t>
  </si>
  <si>
    <t>Integrated Heat Exchanger Building Walls</t>
  </si>
  <si>
    <t>Integrated Heat Exchanger Building Exterior Walls Volume</t>
  </si>
  <si>
    <t>Integrated Heat Exchanger Building Liner</t>
  </si>
  <si>
    <t>Integrated Heat Exchanger Building Superstructure Area</t>
  </si>
  <si>
    <t xml:space="preserve">Buildings to Support Main Function </t>
  </si>
  <si>
    <t>Fuel Management Buildings</t>
  </si>
  <si>
    <t>Refueling Building</t>
  </si>
  <si>
    <t>Refueling Building Slab Roof</t>
  </si>
  <si>
    <t>Refueling Building Slab Roof Volume</t>
  </si>
  <si>
    <t>Refueling Building Basement</t>
  </si>
  <si>
    <t>Refueling Building Basement Volume</t>
  </si>
  <si>
    <t>Refueling Building Walls</t>
  </si>
  <si>
    <t>Refueling Building Exterior Walls Volume</t>
  </si>
  <si>
    <t>Spent Fuel Building</t>
  </si>
  <si>
    <t>Spent Fuel Building Slab Roof</t>
  </si>
  <si>
    <t>Spent Fuel Building Slab Roof Volume</t>
  </si>
  <si>
    <t>Spent Fuel Building Basement</t>
  </si>
  <si>
    <t>Spent Fuel Building Basement Volume</t>
  </si>
  <si>
    <t>Spent Fuel Building Walls</t>
  </si>
  <si>
    <t>Spent Fuel Building Exterior Walls Volume</t>
  </si>
  <si>
    <t>Emergency and Start-up Power Systems Building</t>
  </si>
  <si>
    <t>Emergency Building</t>
  </si>
  <si>
    <t>Emergency Building Slab Roof</t>
  </si>
  <si>
    <t>Emergency Building Slab Roof Volume</t>
  </si>
  <si>
    <t>Emergency Building Basement</t>
  </si>
  <si>
    <t>Emergency Building Basement Volume</t>
  </si>
  <si>
    <t>Emergency Building Walls</t>
  </si>
  <si>
    <t>Emergency Building Exterior Walls Volume</t>
  </si>
  <si>
    <t>Diesel Generator</t>
  </si>
  <si>
    <t>Equipment</t>
  </si>
  <si>
    <t>MARVEL (for the cost of the diesel generator) 
The exponent is based on the work by Koruoush considering cost scaling from nuclear ad non nuclear power plants. When using the power as scaling variable, the exponent ranges between 0..6 and 0.8 so 0.7 is used here</t>
  </si>
  <si>
    <t>Hanna, B. N., Gonzaga de Oliveira, R. G., Mohammad Al Dawood, K. A., Patterson, M. D., Abou Jaoude, A., &amp; Garcia, S. (2024). Technoeconomic Evaluation of Microreactor Using Detailed Bottom-up Estimate (No. INL/RPT-24-80433-Rev000). Idaho National Laboratory (INL), Idaho Falls, ID (United States).
Stewart, W. R., &amp; Shirvan, K. (2022). Capital cost estimation for advanced nuclear power plants. Renewable and Sustainable Energy Reviews, 155, 111880.</t>
  </si>
  <si>
    <t>https://inldigitallibrary.inl.gov/sites/sti/sti/Sort_129862.pdf
https://www.sciencedirect.com/science/article/pii/S1364032121011473</t>
  </si>
  <si>
    <t>Factory Other</t>
  </si>
  <si>
    <t>Auxilliary Building</t>
  </si>
  <si>
    <t>Maniplator Building</t>
  </si>
  <si>
    <t>Manipulator Building Slab Roof</t>
  </si>
  <si>
    <t>Manipulator Building Slab Roof Volume</t>
  </si>
  <si>
    <t>Added a custom building for GCMR based on CAD drawing</t>
  </si>
  <si>
    <t>ManipulatorBuilding Basement</t>
  </si>
  <si>
    <t>Manipulator Building Basement Volume</t>
  </si>
  <si>
    <t>Manipulator Building Exterior Walls</t>
  </si>
  <si>
    <t>Manipulator Building Exterior Walls Volume</t>
  </si>
  <si>
    <t>Supply Chain Buildings</t>
  </si>
  <si>
    <t>Storage Building</t>
  </si>
  <si>
    <t>Storage Building Slab Roof</t>
  </si>
  <si>
    <t>Storage Building Slab Roof Volume</t>
  </si>
  <si>
    <t>Storage Building Basement</t>
  </si>
  <si>
    <t>Storage Building Basement Volume</t>
  </si>
  <si>
    <t>Storage Building Walls</t>
  </si>
  <si>
    <t>Storage Building Exterior Walls Volume</t>
  </si>
  <si>
    <t>Radwaste Building</t>
  </si>
  <si>
    <t>Radwaste Building Slab Roof</t>
  </si>
  <si>
    <t>Radwaste Building Slab Roof Volume</t>
  </si>
  <si>
    <t>Radwaste Building Basement</t>
  </si>
  <si>
    <t>Radwaste Building Basement Volume</t>
  </si>
  <si>
    <t>Radwaste Building Walls</t>
  </si>
  <si>
    <t>Radwaste Building Exterior Walls Volume</t>
  </si>
  <si>
    <t>Reactor System</t>
  </si>
  <si>
    <t>Reactor Components</t>
  </si>
  <si>
    <t>Reactor Vessel and Accessories</t>
  </si>
  <si>
    <t>Reactor Support</t>
  </si>
  <si>
    <t>$/Kg</t>
  </si>
  <si>
    <t>Total Vessels Mass</t>
  </si>
  <si>
    <t>Kg</t>
  </si>
  <si>
    <t>PWR12-ME</t>
  </si>
  <si>
    <t>Unit cost is the cost of support structure divided by the cost of guard vessel plus PCS</t>
  </si>
  <si>
    <t>Factory Primary Structure</t>
  </si>
  <si>
    <t>Outer Vessel Structure</t>
  </si>
  <si>
    <t>Guard Vessel Material</t>
  </si>
  <si>
    <t>stainless_steel</t>
  </si>
  <si>
    <t>Guard Vessel Mass</t>
  </si>
  <si>
    <t>Ganda et al., 2018</t>
  </si>
  <si>
    <t>Ganda, F., Hoffman, E., Taiwo, T. A., Kim, T. K., &amp; Hansen, J. (2019). Report on the ACCERT cost algorithms tool (No. ANL/NSE-19/10). Argonne National Lab.(ANL), Argonne, IL (United States).</t>
  </si>
  <si>
    <t>low_alloy_steel</t>
  </si>
  <si>
    <t>incoloy</t>
  </si>
  <si>
    <t>Inner Vessel Structure</t>
  </si>
  <si>
    <t>Vessel Material</t>
  </si>
  <si>
    <t>Vessel Mass</t>
  </si>
  <si>
    <t>Unit cost if the PCS cost (in MARVEL) divided by the PCS mass in MARVEL</t>
  </si>
  <si>
    <t>Reactor Control Devices</t>
  </si>
  <si>
    <t>Reactivity Control System </t>
  </si>
  <si>
    <t>Reactivity Control System Fabrication</t>
  </si>
  <si>
    <t>$/Drum</t>
  </si>
  <si>
    <t>Drum Count</t>
  </si>
  <si>
    <t xml:space="preserve">MARVEL Project </t>
  </si>
  <si>
    <t>Updated MARVEL Cost Estimate + Communication with MARVEL Team</t>
  </si>
  <si>
    <t>Gerstner, D., &amp; Arafat, Y. (2023). MARVEL 90% Final Design Report (No. INL/RPT-23-74280-Rev000). Idaho National Laboratory (INL), Idaho Falls, ID (United States).
Hanna, B. N., Gonzaga de Oliveira, R. G., Mohammad Al Dawood, K. A., Patterson, M. D., Abou Jaoude, A., &amp; Garcia, S. (2024). Technoeconomic Evaluation of Microreactor Using Detailed Bottom-up Estimate (No. INL/RPT-24-80433-Rev000). Idaho National Laboratory (INL), Idaho Falls, ID (United States).</t>
  </si>
  <si>
    <t>The scaling variable here is the total mass of all the control drums</t>
  </si>
  <si>
    <t>Factory Drums</t>
  </si>
  <si>
    <t>Installation</t>
  </si>
  <si>
    <t>Control Drums Materials (Absorber)</t>
  </si>
  <si>
    <t>Control Drum Absorber</t>
  </si>
  <si>
    <t>B4C_natural</t>
  </si>
  <si>
    <t>Control Drum Absorber Mass</t>
  </si>
  <si>
    <t>Material</t>
  </si>
  <si>
    <t>B4C_enriched</t>
  </si>
  <si>
    <t>Prosser et al., 2023</t>
  </si>
  <si>
    <t>Control Drums Materials (Reflector)</t>
  </si>
  <si>
    <t>Control Drum Reflector</t>
  </si>
  <si>
    <t>BeO</t>
  </si>
  <si>
    <t>Control Drum Reflector Mass</t>
  </si>
  <si>
    <t>Factory BeO</t>
  </si>
  <si>
    <t>Be</t>
  </si>
  <si>
    <t>Factory Be</t>
  </si>
  <si>
    <t>Graphite</t>
  </si>
  <si>
    <t>Naranjo de Candido and Shirvan, 2022</t>
  </si>
  <si>
    <t>Naranjo De Candido and Shirvan. (2022). Graphite Life-Cycle Cost Model for HTGRs, International High-Level Radioactive Waste Management Conference</t>
  </si>
  <si>
    <t>Control System Drive Mechanism</t>
  </si>
  <si>
    <t>First-Principles Cost Estimation of a Sodium Fast  Reactor Nuclear Plant. INL/RPT-23-74316
Table 38, 39</t>
  </si>
  <si>
    <t>Bottom-up Estimation of components with nuclear escalation + contingency</t>
  </si>
  <si>
    <t>Non-Fuel Core Internals</t>
  </si>
  <si>
    <t>Reflector</t>
  </si>
  <si>
    <t>Radial Reflector</t>
  </si>
  <si>
    <t>Radial Reflector Mass</t>
  </si>
  <si>
    <t>Axial Reflector</t>
  </si>
  <si>
    <t>Axial Reflector Mass</t>
  </si>
  <si>
    <t>Al2O3</t>
  </si>
  <si>
    <t>NTRD-FCO-2018-000439</t>
  </si>
  <si>
    <t>Shield</t>
  </si>
  <si>
    <t>In Vessel Shield Materials</t>
  </si>
  <si>
    <t>In Vessel Shield Material</t>
  </si>
  <si>
    <t>In Vessel Shield Mass</t>
  </si>
  <si>
    <t>Out The Vessel Shield Materials</t>
  </si>
  <si>
    <t>Out Of Vessel Shield Material</t>
  </si>
  <si>
    <t>WEP</t>
  </si>
  <si>
    <t>Out Of Vessel Shield Mass</t>
  </si>
  <si>
    <t>Moderator</t>
  </si>
  <si>
    <t>Moderator Mass</t>
  </si>
  <si>
    <t>monolith_graphite</t>
  </si>
  <si>
    <t>Monolith graphite is expected to be more expensive so I multiplied the graphite cost by two</t>
  </si>
  <si>
    <t>ZrH</t>
  </si>
  <si>
    <t>the Fuel SA&amp;I Cost Basis Report</t>
  </si>
  <si>
    <t>Abou-Jaoude, A., C. S. Lohse, L. M. Larsen, N. Guaita, I. Trivedi, F. C. Joseck, E. Hoffman, N. Stauff, K. Shirvan and A. Stein (2024). Meta-Analysis of Advanced Nuclear Reactor Cost Estimations, Idaho National Laboratory (INL), Idaho Falls, ID (United States).</t>
  </si>
  <si>
    <t>YHx</t>
  </si>
  <si>
    <t>We do not know the cost of Yhx. This is just a placeholder for now (assumed to be the same as ZrH)</t>
  </si>
  <si>
    <t>Moderator (Booster)</t>
  </si>
  <si>
    <t>Main Heat Transport System</t>
  </si>
  <si>
    <t>Fluid Circulation Drive System</t>
  </si>
  <si>
    <t>Primary Pump</t>
  </si>
  <si>
    <t>nonstandard</t>
  </si>
  <si>
    <t>Yes</t>
  </si>
  <si>
    <t>$/(kg.sec)</t>
  </si>
  <si>
    <t>Primary Pump Mechanical Power</t>
  </si>
  <si>
    <t>Data from non-nuclear power plant + Ratio of safety grade pump nomalized cost compared to non-safety grade pump is btween 10 and 15 (12.5 ratio was used, from the EEDB (Ganda 2019, Figure 23)</t>
  </si>
  <si>
    <t>Roosen, P., Uhlenbruck, S., &amp; Lucas, K. (2003). Pareto optimization of a combined cycle power system as a decision support tool for trading off investment vs. operating costs. International Journal of Thermal Sciences, 42(6), 553-560.
Ganda, F., Hoffman, E., Taiwo, T. A., Kim, T. K., &amp; Hansen, J. (2019). Report on the ACCERT cost algorithms tool (No. ANL/NSE-19/10). Argonne National Lab.(ANL), Argonne, IL (United States).</t>
  </si>
  <si>
    <t>https://www.sciencedirect.com/science/article/pii/S1290072903000218
https://publications.anl.gov/anlpubs/2019/06/152862.pdf</t>
  </si>
  <si>
    <t>Secondary Pump</t>
  </si>
  <si>
    <t>Secondary Pump Mechanical Power</t>
  </si>
  <si>
    <t>Data from non-nuclear power plant</t>
  </si>
  <si>
    <t>Compressor</t>
  </si>
  <si>
    <t>unitless</t>
  </si>
  <si>
    <t>ANL/NSE-20/28</t>
  </si>
  <si>
    <t>Hoffman et al. (2020). Improvement of ACCERT Algorithm - FY20 (No. ANL/NSE-20/28). Argonne National Laboratory.(ANL), Argonne, IL (United States).</t>
  </si>
  <si>
    <t>Implemented on the python side. 
Chosen over default due to uncertainty in compressor Pressure Ratio changes based on reactor TH</t>
  </si>
  <si>
    <t>Reactor Heat Transfer Piping System</t>
  </si>
  <si>
    <t>From EEBD</t>
  </si>
  <si>
    <t>LTMR</t>
  </si>
  <si>
    <t>HPMR</t>
  </si>
  <si>
    <t>$/heatpipe</t>
  </si>
  <si>
    <t>Number of Heatpipes</t>
  </si>
  <si>
    <t>https://inldigitallibrary.inl.gov/sites/sti/sti/Sort_46104.pdf</t>
  </si>
  <si>
    <t>Heat Exchangers</t>
  </si>
  <si>
    <t>Primary Heat Exchanger</t>
  </si>
  <si>
    <t>HX Material</t>
  </si>
  <si>
    <t>SS316</t>
  </si>
  <si>
    <t>Primary HX Mass</t>
  </si>
  <si>
    <t>Non Nuclear Plants</t>
  </si>
  <si>
    <t>Gezelius, K. (2004). Design of compact intermediate heat exchangers for gas cooled fast reactors, Massachusetts Institute of Technology.</t>
  </si>
  <si>
    <t>800H</t>
  </si>
  <si>
    <t>Yoon, S.-J., P. Sabharwall and E.-S. Kim (2013). Analytical study on thermal and mechanical design of printed circuit heat exchanger, Idaho National Lab.(INL), Idaho Falls, ID (United States).</t>
  </si>
  <si>
    <t>Secondary Heat Exchanger</t>
  </si>
  <si>
    <t>Secondary HX Mass</t>
  </si>
  <si>
    <t>Initial Coolant Inventory</t>
  </si>
  <si>
    <t>Coolant</t>
  </si>
  <si>
    <t>Helium</t>
  </si>
  <si>
    <t>Onsite Coolant Inventory</t>
  </si>
  <si>
    <t>Fernandez de Losada. (2024). Assessment of the Lifecycle Cost of Nuclear-Grade Coolants for Advanced Reactors. ETHzurich. Swiss.</t>
  </si>
  <si>
    <t>https://doi.org/10.3929/ethz-b-000709311</t>
  </si>
  <si>
    <t>Vendor Quoate (Linde) for 3000 cylinders of 99.999% purity Helium. 3000 cylinders correspond to ~4 MT of He.</t>
  </si>
  <si>
    <t>NaK</t>
  </si>
  <si>
    <t>Integrated Heat Transfer Vessel</t>
  </si>
  <si>
    <t>Integrated Heat Transfer Vessel Mass</t>
  </si>
  <si>
    <t>Custom Accounts to model the vessel that houses the PCHE, Circulator, and Pipe Connections. These are assumed to be SA508 for now but use the same unit-cost as SS PCHE</t>
  </si>
  <si>
    <t>Integrated Heat Transfer System Support</t>
  </si>
  <si>
    <t>Safety Systems</t>
  </si>
  <si>
    <t>Reactor Cavity Cooling System (Rvacs)</t>
  </si>
  <si>
    <t>Rvacs (Cooling Vessel)</t>
  </si>
  <si>
    <t>Cooling Vessel Mass</t>
  </si>
  <si>
    <t>Rvacs (Intake Vessel)</t>
  </si>
  <si>
    <t>Intake Vessel Mass</t>
  </si>
  <si>
    <t>Other Reactor Plant Equipment</t>
  </si>
  <si>
    <t>MARVEL</t>
  </si>
  <si>
    <t>Primary Loop Mass Flow Rate</t>
  </si>
  <si>
    <t>kg/s</t>
  </si>
  <si>
    <t>DOE-ET-34222-T1</t>
  </si>
  <si>
    <t>1170 MWt HTGR Steamer Cogeneration Plant Design and Cost Study, United Engineers &amp; Constructors Inc. Philadelphia, Pennsylvania. 1980]</t>
  </si>
  <si>
    <t>https://www.osti.gov/servlets/purl/5084245</t>
  </si>
  <si>
    <t>Cost scalated based on Park et al., 2024 - Bottom-up ….</t>
  </si>
  <si>
    <t>Reactor Instrumentation and Control (I&amp;C)</t>
  </si>
  <si>
    <t>Shirvan et al., 2023</t>
  </si>
  <si>
    <t xml:space="preserve">Shirvan et al,. (2023). UO2-fueled microreactors: Near-term solutions to emerging marktets. Nuclear Engineering and Design. </t>
  </si>
  <si>
    <t>https://doi.org/10.1016/j.nucengdes.2023.112470</t>
  </si>
  <si>
    <t>Cost based on FOAK Digital I&amp;C with 2-out-of-4 voting logic</t>
  </si>
  <si>
    <t>Reactor Plant Miscellaneous Items</t>
  </si>
  <si>
    <t>Energy Conversion System </t>
  </si>
  <si>
    <t>Energy Applications</t>
  </si>
  <si>
    <t>Electricity Generation Systems</t>
  </si>
  <si>
    <t>$/kWe</t>
  </si>
  <si>
    <t>BoP Power kWe</t>
  </si>
  <si>
    <t>INL/RPT-24-80433 Rev.1</t>
  </si>
  <si>
    <t>https://www.osti.gov/biblio/2447366</t>
  </si>
  <si>
    <t>Non-nuclear off-the-shelf</t>
  </si>
  <si>
    <t>Common Instrumentation &amp; Controls</t>
  </si>
  <si>
    <t>Electrical Equipment</t>
  </si>
  <si>
    <t>Switchgear</t>
  </si>
  <si>
    <t>EEDB PWR12-ME + Stewart and Shirvan (2022)
Scales PWR12-ME costs with simplifications based on Stewart and Srhivan (2022)</t>
  </si>
  <si>
    <t>Stewart, W. R., &amp; Shirvan, K. (2022). Capital cost estimation for advanced nuclear power plants. Renewable and Sustainable Energy Reviews, 155, 111880.</t>
  </si>
  <si>
    <t>Station Service Equipment</t>
  </si>
  <si>
    <t>Switchboards</t>
  </si>
  <si>
    <t>Protective Equipment</t>
  </si>
  <si>
    <t>Electrical Structure &amp; Wiring Container</t>
  </si>
  <si>
    <t>Power &amp; Control Wiring</t>
  </si>
  <si>
    <t>Initial Fuel Inventory</t>
  </si>
  <si>
    <t>First Core Mining</t>
  </si>
  <si>
    <t>Natural Uranium Mass</t>
  </si>
  <si>
    <t>INL Cost Basis Report &amp; Meta analysis for the nuclear reactor costs
UO2-fueled microreactors: Near-term solutions to emerging markets</t>
  </si>
  <si>
    <t>Abou-Jaoude, Abdalla, et al. Meta-Analysis of Advanced Nuclear Reactor Cost Estimations. No.
INL/RPT-24-77048-Rev001. Idaho National Laboratory (INL), Idaho Falls, ID (United
States), 2024. 
Abou-Jaoude, A., Y. Arafat, A. Foss, and B. Dixon. 2021. “An Economics-by-Design Approach
Applied to a Heat Pipe Microreactor Concept.” INL/EXT-21-63067, Rev. 000, Idaho
National Laboratory, Idaho Falls, Idaho. https://doi.org/10.2172/1811894. 
Kororush Shirvan, Jacopo Buongiorno, Ruaridh MacDonald, Bradley Dunkin, Sacit Cetiner, Earl Saito, Thomas Conboy, Charles Forsberg,
UO2-fueled microreactors: Near-term solutions to emerging markets,
Nuclear Engineering and Design</t>
  </si>
  <si>
    <t>First Core Conversion </t>
  </si>
  <si>
    <t>First Core Enrichment </t>
  </si>
  <si>
    <t>$/SWU</t>
  </si>
  <si>
    <t>SWU</t>
  </si>
  <si>
    <t>First Core Fuel Assembly Fabrication </t>
  </si>
  <si>
    <t>TRISO Fueled</t>
  </si>
  <si>
    <t>No</t>
  </si>
  <si>
    <t>Fuel</t>
  </si>
  <si>
    <t>TRIGA_fuel</t>
  </si>
  <si>
    <t>Uranium Mass</t>
  </si>
  <si>
    <t xml:space="preserve"> UO2</t>
  </si>
  <si>
    <t>Miscellaneous Equipment (Cranes)</t>
  </si>
  <si>
    <t>A study for the mass manufacruing and factory fabrication of microreactors</t>
  </si>
  <si>
    <t>Abou-Jaoude, A., Arafat, Yasir, Foss, Andrew Wilkin, and Dixon, Brent W (2021). An Economics-by-Design Approach Applied to a Heat Pipe Microreactor Concept. 2021. Idaho National Laboratory: Idaho Falls, ID, Idaho National Laboratory.</t>
  </si>
  <si>
    <t>Capitalized Indirect Services Cost</t>
  </si>
  <si>
    <t>Factory &amp; field indirect costs</t>
  </si>
  <si>
    <t>Factory and construction supervision</t>
  </si>
  <si>
    <t>Startup Costs</t>
  </si>
  <si>
    <t>Shipping and Transportation Costs</t>
  </si>
  <si>
    <t>Engineering Services</t>
  </si>
  <si>
    <t>PM/CM Services</t>
  </si>
  <si>
    <t>Capitalized training costs</t>
  </si>
  <si>
    <t>staff recruitment and training</t>
  </si>
  <si>
    <t xml:space="preserve">Al-Dawood, Khaldoon and Hanna, Botros and Balla, Sai and de Oliveira, Rodrigo and Garcia, Samuel and McCarthy, Dan and Bolisetti, Chandrakanth and Lindley, Ben and Abou-Jaoude, Abdalla, Open-Source Microreactor Design Models for Technoeconomic Assessment. </t>
  </si>
  <si>
    <t>https://papers.ssrn.com/sol3/papers.cfm?abstract_id=5163464</t>
  </si>
  <si>
    <t xml:space="preserve">Capitalized Financial Costs </t>
  </si>
  <si>
    <t>Interest</t>
  </si>
  <si>
    <t xml:space="preserve">Annualized O&amp;M Cost </t>
  </si>
  <si>
    <t>O&amp;M Staff</t>
  </si>
  <si>
    <t>Operators </t>
  </si>
  <si>
    <t>$/FTE</t>
  </si>
  <si>
    <t>Number of Operators</t>
  </si>
  <si>
    <t>de Candido, I., A. Al Rashdan, A. Abou-Jaoude, and J. Buongiorno. 2024. “Assessment of Technoeconomic Opportunities in Automation for Nuclear Microreactors.” Nuclear Science and Engineering, 1–20. https://doi.org/10.1080/00295639.2024.2372511.</t>
  </si>
  <si>
    <t>Remote Monitoring Technicians </t>
  </si>
  <si>
    <t>Operation Mode</t>
  </si>
  <si>
    <t>Reactors Monitored Per Operator</t>
  </si>
  <si>
    <t>Security Staff </t>
  </si>
  <si>
    <t>Security Staff Per Shift</t>
  </si>
  <si>
    <t>Variable Non-Fuel Costs</t>
  </si>
  <si>
    <t>Replacement Coolant Inventory</t>
  </si>
  <si>
    <t>MARVEL Project (communication with MARVEL Team)</t>
  </si>
  <si>
    <t>Vendor Quotes</t>
  </si>
  <si>
    <t>Regulatory Costs</t>
  </si>
  <si>
    <t xml:space="preserve">NRC annual fees for operating reactors in FY25 is $5,359,000
One assumption could be to consider a single fee for the fleet of microreactors. 
Proposed cost = $5,359,000 per year / (100 reactors per fleet)
Another assumption (anecdotal evidence) is that licensing fee cost is 1-to-1 with the utility cost to support. 
 </t>
  </si>
  <si>
    <t>https://www.federalregister.gov/documents/2025/02/19/2025-02779/fee-schedules-fee-recovery-for-fiscal-year-2025</t>
  </si>
  <si>
    <t>Capital Plant Expenditures</t>
  </si>
  <si>
    <t>Venneri, (2023) and INL/EXT-21-63067</t>
  </si>
  <si>
    <t>Implemented on non_direct_cost.py
Cost is scaled as a fraction of CAPEX unless specific parameters are added to indicate more/less frequent replacements (e.g. GCMR)</t>
  </si>
  <si>
    <t>Annualized RPV Replacements</t>
  </si>
  <si>
    <t>Annualized Core Barrel Replacements</t>
  </si>
  <si>
    <t>Annualized Moderator Replacements</t>
  </si>
  <si>
    <t>Annualized Reflector Replacements</t>
  </si>
  <si>
    <t>Annualized Reactivity Control Replacements</t>
  </si>
  <si>
    <t>Annualized Integrated Heat Transfer System Replacements</t>
  </si>
  <si>
    <t>Annualized Misc. Replacements</t>
  </si>
  <si>
    <t>Annualized Decommissioning Cost</t>
  </si>
  <si>
    <t>Implemented on non_direct_cost.py
The cost is scaled as a fraction of CAPEX (15%)</t>
  </si>
  <si>
    <t>Annualized Fuel Cost</t>
  </si>
  <si>
    <t>Refueling Operations</t>
  </si>
  <si>
    <t>Additional Nuclear Fuel</t>
  </si>
  <si>
    <t>Spent Fuel Management</t>
  </si>
  <si>
    <t>$/MWeHour</t>
  </si>
  <si>
    <t>Annual Electricity Production</t>
  </si>
  <si>
    <t>Account ID</t>
  </si>
  <si>
    <t>TOTAL COST (2024 USD)</t>
  </si>
  <si>
    <t>Site Preparation/Yard Work</t>
  </si>
  <si>
    <t>Emergency and Start-up Power Systems</t>
  </si>
  <si>
    <t>Miscellaneous Other Structures</t>
  </si>
  <si>
    <t>Reactor vessel and accessories</t>
  </si>
  <si>
    <t>Reactor support</t>
  </si>
  <si>
    <t>Outer vessel structure</t>
  </si>
  <si>
    <t>Inner vessel structure</t>
  </si>
  <si>
    <t>Reactor control devices</t>
  </si>
  <si>
    <t>Reactivity control system</t>
  </si>
  <si>
    <t>Non-fuel core internals</t>
  </si>
  <si>
    <t>Reflector (Materials: BeO)</t>
  </si>
  <si>
    <t>Reflector (Materials: Be Metal)</t>
  </si>
  <si>
    <t>Reflector (installation</t>
  </si>
  <si>
    <t>222</t>
  </si>
  <si>
    <t>Fluid circulation drive system</t>
  </si>
  <si>
    <t>Reactor Heat Hransfer Piping System</t>
  </si>
  <si>
    <t>Reactor Heat Hransfer Piping System (Mat)</t>
  </si>
  <si>
    <t>Reactor Heat Hransfer Piping System (Fabrication)</t>
  </si>
  <si>
    <t>Reactor Heat Hransfer Piping System (Installation)</t>
  </si>
  <si>
    <t>Pressurizer System</t>
  </si>
  <si>
    <t>Initial Heat Transfer Fluid Inventory</t>
  </si>
  <si>
    <t>224</t>
  </si>
  <si>
    <t>Radioactive Byproduct Processing Systems</t>
  </si>
  <si>
    <t>226</t>
  </si>
  <si>
    <t>227</t>
  </si>
  <si>
    <t>228</t>
  </si>
  <si>
    <t>Energy Conversion System</t>
  </si>
  <si>
    <t>244</t>
  </si>
  <si>
    <t>Protective Systems Equipment</t>
  </si>
  <si>
    <t>245</t>
  </si>
  <si>
    <t>Electrical Raceway Systems</t>
  </si>
  <si>
    <t>246</t>
  </si>
  <si>
    <t>Power and Control Cables and Wiring</t>
  </si>
  <si>
    <t>254 </t>
  </si>
  <si>
    <t>Miscellaneous Equipment</t>
  </si>
  <si>
    <t>Factory &amp; Field Indirect Costs </t>
  </si>
  <si>
    <t>Field Shops</t>
  </si>
  <si>
    <t>Commissioning and Trial Test Runs</t>
  </si>
  <si>
    <t>Initial Fuel Loading Operations</t>
  </si>
  <si>
    <t>Test Runs</t>
  </si>
  <si>
    <t>Fuel Shipping and Transportation </t>
  </si>
  <si>
    <t>Other Shipping and Transportation Costs</t>
  </si>
  <si>
    <t>Off-Site</t>
  </si>
  <si>
    <t>On-Site</t>
  </si>
  <si>
    <t>Capitalized Training Costs</t>
  </si>
  <si>
    <t>Staff Recruitment and Training</t>
  </si>
  <si>
    <t>Capitalized Supplementary Costs</t>
  </si>
  <si>
    <t>Decommissioning</t>
  </si>
  <si>
    <t>Escalation</t>
  </si>
  <si>
    <t>Non-Recurrung Costs</t>
  </si>
  <si>
    <t>Variable</t>
  </si>
  <si>
    <t>Value</t>
  </si>
  <si>
    <t>Description</t>
  </si>
  <si>
    <t>Overall System</t>
  </si>
  <si>
    <t>Thermal power</t>
  </si>
  <si>
    <t>kWth</t>
  </si>
  <si>
    <t> —</t>
  </si>
  <si>
    <t>Electric Power</t>
  </si>
  <si>
    <t>kWe</t>
  </si>
  <si>
    <t>Core outer radius</t>
  </si>
  <si>
    <t>inches</t>
  </si>
  <si>
    <t>Reflector outer radius</t>
  </si>
  <si>
    <t>Fuel mass</t>
  </si>
  <si>
    <t>kg</t>
  </si>
  <si>
    <t>UZrH</t>
  </si>
  <si>
    <t>U Weight fraction</t>
  </si>
  <si>
    <t>wt%</t>
  </si>
  <si>
    <t>U/UZrH</t>
  </si>
  <si>
    <t>U enrichment</t>
  </si>
  <si>
    <t>High-assay low-enriched uranium (HALEU)</t>
  </si>
  <si>
    <t>Pins</t>
  </si>
  <si>
    <t>#</t>
  </si>
  <si>
    <t>Outer reflector material</t>
  </si>
  <si>
    <t>99% theoretical density</t>
  </si>
  <si>
    <t>Elements</t>
  </si>
  <si>
    <t>Quarter plates</t>
  </si>
  <si>
    <t>Reflector plate thickness</t>
  </si>
  <si>
    <t>Reflector plate volume</t>
  </si>
  <si>
    <t>cm3/plate</t>
  </si>
  <si>
    <t>Mass of BeO reflector</t>
  </si>
  <si>
    <t>Insert volume</t>
  </si>
  <si>
    <t>Mass of Be-metal reflector</t>
  </si>
  <si>
    <t>MT</t>
  </si>
  <si>
    <t>Control Elements</t>
  </si>
  <si>
    <t>Control drums</t>
  </si>
  <si>
    <t>Shutdown rods</t>
  </si>
  <si>
    <t>Control drum elements</t>
  </si>
  <si>
    <t>Discs</t>
  </si>
  <si>
    <t>Drum disc thickness</t>
  </si>
  <si>
    <t>Drum reflector volume</t>
  </si>
  <si>
    <t>BeO 99%</t>
  </si>
  <si>
    <t>Mass of drum reflector</t>
  </si>
  <si>
    <t>Drum poison volume</t>
  </si>
  <si>
    <t>B4C</t>
  </si>
  <si>
    <t>Mass of drum poison</t>
  </si>
  <si>
    <t>Mass of rod poison</t>
  </si>
  <si>
    <t>Instruments and Controls</t>
  </si>
  <si>
    <t>Control cabinet</t>
  </si>
  <si>
    <t>Instrument cabinet</t>
  </si>
  <si>
    <t>Nuclear input/output (IO)</t>
  </si>
  <si>
    <t>Non-nuclear IO</t>
  </si>
  <si>
    <t>Stirling engine IO</t>
  </si>
  <si>
    <t>These should be excluded if there no stirling engine?</t>
  </si>
  <si>
    <t>TOTAL</t>
  </si>
  <si>
    <t>Shielding in Vessel</t>
  </si>
  <si>
    <t>Stainless Steel cans</t>
  </si>
  <si>
    <t> Stainless Steel cans of the boron carbide shielding material (SS316H)</t>
  </si>
  <si>
    <t>Gamma shield material</t>
  </si>
  <si>
    <t>Gamma shield material inside the guard vessel (of Tungsten)</t>
  </si>
  <si>
    <t xml:space="preserve">Neutron shield material in the guard vessel </t>
  </si>
  <si>
    <t> made of natural B4C powder and is located above the core (a donut around the core barrel)—</t>
  </si>
  <si>
    <t xml:space="preserve">Boron Carbine shielding </t>
  </si>
  <si>
    <t> made of natural B4C (called base shield) below the core</t>
  </si>
  <si>
    <t>Radial (lead)</t>
  </si>
  <si>
    <t> lead</t>
  </si>
  <si>
    <t>Radial (WEP)</t>
  </si>
  <si>
    <t xml:space="preserve">made of Water Extended Polyster (WEP) </t>
  </si>
  <si>
    <t>Shielding in Pit</t>
  </si>
  <si>
    <t>Mass of the pit neutron shielding</t>
  </si>
  <si>
    <t>Approximated 6-in.-thick covering whole pit and made of Water-extruded poly (WEP)</t>
  </si>
  <si>
    <t>Heat Transfer</t>
  </si>
  <si>
    <t xml:space="preserve">Mass of coolant  </t>
  </si>
  <si>
    <t>—</t>
  </si>
  <si>
    <t>Number of loops</t>
  </si>
  <si>
    <t>— </t>
  </si>
  <si>
    <t>Mass of PCSs</t>
  </si>
  <si>
    <t>SS316H</t>
  </si>
  <si>
    <t>Subassembly Structure Masses</t>
  </si>
  <si>
    <t>Reactor support frame</t>
  </si>
  <si>
    <t>Guard vessel</t>
  </si>
  <si>
    <t>Year</t>
  </si>
  <si>
    <t>Parameter</t>
  </si>
  <si>
    <t>Note</t>
  </si>
  <si>
    <t>Reference</t>
  </si>
  <si>
    <t>indirect to direct field-related cost</t>
  </si>
  <si>
    <t>FTEs Per Onsite Operator (24/7)</t>
  </si>
  <si>
    <t>FTEs Per Offsite Operator (24/7)</t>
  </si>
  <si>
    <t>FTEs Per Security Staff (24/7)</t>
  </si>
  <si>
    <t>Hours Per FTE</t>
  </si>
  <si>
    <t>Work Hours Per Shift</t>
  </si>
  <si>
    <t>Maintenance to Direct Cost Ratio</t>
  </si>
  <si>
    <t>FOAK to NOAK Learning Rates</t>
  </si>
  <si>
    <t>Assessment of Factory Fabrication Considerations
for Nuclear Microreactors
 10.1080/00295450.2023.2206779</t>
  </si>
  <si>
    <t>Calculated based on Refernce Paper + Gyutae's work. Refer to TEM Slides for rationale and methodology</t>
  </si>
  <si>
    <t>Park, et al., Bottom-up levelized cost estimation of low-enriched and low-pressure nuclear batteries. Nuclear Engineering and Design. 2025.</t>
  </si>
  <si>
    <t>For off-the-shelf commercial components that are not produced in the FB Factory</t>
  </si>
  <si>
    <t>Count Scaling Variable</t>
  </si>
  <si>
    <t>Count per Variable</t>
  </si>
  <si>
    <t>Constant</t>
  </si>
  <si>
    <t>Roadwork</t>
  </si>
  <si>
    <t>Security Fencing</t>
  </si>
  <si>
    <t>$/m</t>
  </si>
  <si>
    <t>Site Perimeter</t>
  </si>
  <si>
    <t>Ref Table 2-8</t>
  </si>
  <si>
    <t>Kessler. Cost Estimate for an Away-From-Reactor Generic Interim Storage Facility (GISF) for Spent Nuclear Fuel. EPRI. 2009.</t>
  </si>
  <si>
    <t>https://www.epri.com/research/products/1018722</t>
  </si>
  <si>
    <t>Manufacturing Facility</t>
  </si>
  <si>
    <t>Fabrication Building</t>
  </si>
  <si>
    <t xml:space="preserve">RSMeans software: a tool that primarily provides costs for non-nuclear work
Nuclear Multiplier have not been applied </t>
  </si>
  <si>
    <t>HVAC</t>
  </si>
  <si>
    <t>Feed and Product Warehouse Building</t>
  </si>
  <si>
    <t>Manufacturing Facility Integrated Control Building</t>
  </si>
  <si>
    <t>Manufacturing Facility Admin Building</t>
  </si>
  <si>
    <t>Manufacturing Facility Security Building</t>
  </si>
  <si>
    <t>Factory Perimeter</t>
  </si>
  <si>
    <t>Servicing Facility</t>
  </si>
  <si>
    <t>Servicing Building</t>
  </si>
  <si>
    <t>Servicing Hot Cell</t>
  </si>
  <si>
    <t>Servicing Hot Cell Count</t>
  </si>
  <si>
    <t>Hot Cell Airlock</t>
  </si>
  <si>
    <t>Helium Purification and Storage Building</t>
  </si>
  <si>
    <t>Servicing Facility Integrated Control Room</t>
  </si>
  <si>
    <t>Servicing Facility Admin Building</t>
  </si>
  <si>
    <t>Servicing Facility Security Building</t>
  </si>
  <si>
    <t>Servicing Facility Perimeter</t>
  </si>
  <si>
    <t>New Reactor Fuel and Testing Facility</t>
  </si>
  <si>
    <t>Fresh Fuel Storage and Inspection Building</t>
  </si>
  <si>
    <t>Reactor Fueling Building</t>
  </si>
  <si>
    <t>Reactor Fueling Hot Cell</t>
  </si>
  <si>
    <t>New Reactor Fueling Line Count</t>
  </si>
  <si>
    <t>Reactor Testing Hot Cell</t>
  </si>
  <si>
    <t>New Reactor Testing Line Count</t>
  </si>
  <si>
    <t>New Reactor Fuel and Testing Facility Admin Building</t>
  </si>
  <si>
    <t>New Reactor Fuel and Testing Facility Security Building</t>
  </si>
  <si>
    <t>New Reactor Facility Perimeter</t>
  </si>
  <si>
    <t>Radioactive Waste Management Facility</t>
  </si>
  <si>
    <t>Radioactive Waste Processing Building</t>
  </si>
  <si>
    <t>Radioactive Waste Processing Hot Cell</t>
  </si>
  <si>
    <t>Radioactive Waste Processing Building Volume</t>
  </si>
  <si>
    <t>Radioactive Waste Storage Building</t>
  </si>
  <si>
    <t>Radioactive Waste Storage Building Volume</t>
  </si>
  <si>
    <t>Radioactive Waste Management Facility Integrated Control Room</t>
  </si>
  <si>
    <t>Radioactive Waste Management Facility Admin Building</t>
  </si>
  <si>
    <t>Radioactive Waste Management Facility Security Building</t>
  </si>
  <si>
    <t>Radioactive Waste Management Facility Perimeter</t>
  </si>
  <si>
    <t>Manufacturing Facility Equipment</t>
  </si>
  <si>
    <t>New Reactor Production Rate</t>
  </si>
  <si>
    <t>Rx/yr</t>
  </si>
  <si>
    <t>Sai's Deliverable Spreadsheet</t>
  </si>
  <si>
    <t>Servicing Facility Equipment</t>
  </si>
  <si>
    <t>Used Reactor Servicing Equipment</t>
  </si>
  <si>
    <t>Fuel/Internal Handling Robot</t>
  </si>
  <si>
    <t>Defueling/Refueling Line Count</t>
  </si>
  <si>
    <t>MIT-ANP-TR-198</t>
  </si>
  <si>
    <t>ABB Robotics Estimate</t>
  </si>
  <si>
    <t>Fuel Crane</t>
  </si>
  <si>
    <t>Konecrane Estimate</t>
  </si>
  <si>
    <t>Reactor Crane</t>
  </si>
  <si>
    <t>Operating Platform</t>
  </si>
  <si>
    <t>Vessel Inspection System</t>
  </si>
  <si>
    <t>IAEA-TCS-9</t>
  </si>
  <si>
    <t>NON-DESTRUCTIVE TESTING: A GUIDEBOOK FOR INDUSTRIAL MANAGEMENT AND QUALITY CONTROL PERSONNEL IAEA, VIENNA, 1999</t>
  </si>
  <si>
    <t>https://inis.iaea.org/records/hb38s-b7r14/files/31005449.pdf</t>
  </si>
  <si>
    <t>Reference p127 gives ROM cost of automated RPV inspection: "millions of dollars"</t>
  </si>
  <si>
    <t>Decontamination System</t>
  </si>
  <si>
    <t>Servicing Hot Cell Shielding</t>
  </si>
  <si>
    <t>Used Reactor Testing Equipment</t>
  </si>
  <si>
    <t>Handling Robot</t>
  </si>
  <si>
    <t>Primary Heat Transport System</t>
  </si>
  <si>
    <t>TODO: should simply use the same cost as the Reactor Side</t>
  </si>
  <si>
    <t>Testing Hot Cell Shielding</t>
  </si>
  <si>
    <t>Auxiliary System</t>
  </si>
  <si>
    <t>Fire Protection Equipment</t>
  </si>
  <si>
    <t>Service Water/Air/Steam System</t>
  </si>
  <si>
    <t>Power Mwt Processed by Servicing</t>
  </si>
  <si>
    <t>Power Law scaling of PWR12-ME Service Water/Air/Steam System. Needs better cost correlation.</t>
  </si>
  <si>
    <t>Radwaste Processing System</t>
  </si>
  <si>
    <t>Gas Waste System</t>
  </si>
  <si>
    <t>Liquid Waste System</t>
  </si>
  <si>
    <t>Solid Waste System</t>
  </si>
  <si>
    <t>Inert Gas System</t>
  </si>
  <si>
    <t>Total Servicing Hot Cell Volume</t>
  </si>
  <si>
    <t>Park et al., Bottom-up levelized cost estimation of low-enriched and low-pressure nuclear batteries. NED. 2025</t>
  </si>
  <si>
    <t>https://doi.org/10.1016/j.nucengdes.2025.113936</t>
  </si>
  <si>
    <t>Uses LMFBR Inert Gas System as reference for Power Law Scaling using Containment/HotCell Volume</t>
  </si>
  <si>
    <t>Helium Management Equipment</t>
  </si>
  <si>
    <t>Helium Treatment and Recycle</t>
  </si>
  <si>
    <t>Helium Storage Equipment</t>
  </si>
  <si>
    <t>Helium Transfer Equipment</t>
  </si>
  <si>
    <t>Reactor Cask Management Equipment</t>
  </si>
  <si>
    <t>Cask Inspection Equipment</t>
  </si>
  <si>
    <t>Cask Transfer Crane</t>
  </si>
  <si>
    <t>Cask Storage Rack</t>
  </si>
  <si>
    <t>Integrated Control System</t>
  </si>
  <si>
    <t>Plant Control Systems</t>
  </si>
  <si>
    <t>Instrumentation and Controls</t>
  </si>
  <si>
    <t>Process Computer</t>
  </si>
  <si>
    <t>Alarm System</t>
  </si>
  <si>
    <t>Monitoring System</t>
  </si>
  <si>
    <t>Communication System</t>
  </si>
  <si>
    <t>New Reactor Fueling and Testing Facility Equipment</t>
  </si>
  <si>
    <t>New Reactor Fueling Equipment</t>
  </si>
  <si>
    <t>Fuel Handling Robot</t>
  </si>
  <si>
    <t>Fueling Hot Cell Shielding</t>
  </si>
  <si>
    <t>New Reactor Testing Equipment</t>
  </si>
  <si>
    <t>Fresh Fuel Management Equipment</t>
  </si>
  <si>
    <t>Fresh Fuel Inspection Equipment</t>
  </si>
  <si>
    <t>Fresh Fuel Cask Storage Racks</t>
  </si>
  <si>
    <t>Power Mwt of Operating Fleet</t>
  </si>
  <si>
    <t>New Reactor Testing Hot Cell Volume</t>
  </si>
  <si>
    <t>Radioactive Waste Management Facility Equipment</t>
  </si>
  <si>
    <t>Power Mwe Processed by New Reactor Facility</t>
  </si>
  <si>
    <t>Radioactive Waste Cask Management Equipment</t>
  </si>
  <si>
    <t>Central Facility Power MWe</t>
  </si>
  <si>
    <t>Equipment to support Site Function</t>
  </si>
  <si>
    <t>Physical Security Systems</t>
  </si>
  <si>
    <t>Transport Equipment</t>
  </si>
  <si>
    <t>Onsite Transport Equipment</t>
  </si>
  <si>
    <t>Local Transport Vehicle</t>
  </si>
  <si>
    <t>Local Transport Vehecle Count</t>
  </si>
  <si>
    <t>Off-site Transport Equipment</t>
  </si>
  <si>
    <t>Large Cargo Transport Vehicle</t>
  </si>
  <si>
    <t>General Transport Vehicle Count</t>
  </si>
  <si>
    <t>Used Reactor Transport Vehicle</t>
  </si>
  <si>
    <t>Reactor Transport Vehicle Count</t>
  </si>
  <si>
    <t>Operational Spares/Waste Transport Vehicle</t>
  </si>
  <si>
    <t>Spares/Waste Transport Vehicle Count</t>
  </si>
  <si>
    <t>Vehicle Inspection and Maintenance Equipment</t>
  </si>
  <si>
    <t>Maintenance Staff</t>
  </si>
  <si>
    <t xml:space="preserve">Fixed O&amp;M Utilities and Materials </t>
  </si>
  <si>
    <t>Spare Parts</t>
  </si>
  <si>
    <t>Utilities, Supplies, and Consumables</t>
  </si>
  <si>
    <t>Annualized Transportation Costs</t>
  </si>
  <si>
    <t>Annualized Cask Replacements</t>
  </si>
  <si>
    <t>Spent Fuel Cask</t>
  </si>
  <si>
    <t>Annual Spent Fuel Cask Replacement</t>
  </si>
  <si>
    <t>NUHOMS EOS 37 PTH ESC Cask</t>
  </si>
  <si>
    <t>Reactor Transport Cask</t>
  </si>
  <si>
    <t>Annual Reactor Cask Replacement</t>
  </si>
  <si>
    <t>Private Conversation</t>
  </si>
  <si>
    <t>Radioactive Waste Storage Cask</t>
  </si>
  <si>
    <t>Annual Rad Waste Cask Replacement</t>
  </si>
  <si>
    <t>Annualized Helium Replenishment</t>
  </si>
  <si>
    <t>Reactor Testing Building</t>
  </si>
  <si>
    <t>Moderator Booster Materials</t>
  </si>
  <si>
    <t>Moderator Booster Mass Graphite</t>
  </si>
  <si>
    <t>Moderator Booster Mass ZrH</t>
  </si>
  <si>
    <t>Moderator Booster Mass YHx</t>
  </si>
  <si>
    <t>Remotely Monitored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</si>
</sst>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00"/>
    <numFmt numFmtId="165" formatCode="0.000"/>
    <numFmt numFmtId="166" formatCode="_(* #,##0_);_(* \(#,##0\);_(* &quot;-&quot;??_);_(@_)"/>
    <numFmt numFmtId="167" formatCode="0.0"/>
    <numFmt numFmtId="168" formatCode="_(* #,##0.000_);_(* \(#,##0.000\);_(* &quot;-&quot;??_);_(@_)"/>
    <numFmt numFmtId="169" formatCode="_(* #,##0.0_);_(* \(#,##0.0\);_(* &quot;-&quot;?_);_(@_)"/>
  </numFmts>
  <fonts count="18" x14ac:knownFonts="1">
    <font>
      <sz val="11"/>
      <color theme="1"/>
      <name val="Calibri"/>
      <family val="2"/>
      <scheme val="minor"/>
    </font>
    <font>
      <sz val="10"/>
      <color rgb="FF000000"/>
      <name val="Times New Roman"/>
      <family val="2"/>
    </font>
    <font>
      <sz val="11"/>
      <color theme="1"/>
      <name val="Calibri"/>
      <family val="2"/>
      <scheme val="minor"/>
    </font>
    <font>
      <u/>
      <sz val="11"/>
      <color theme="10"/>
      <name val="Calibri"/>
      <family val="2"/>
      <scheme val="minor"/>
    </font>
    <font>
      <b/>
      <sz val="11"/>
      <color theme="1"/>
      <name val="Calibri"/>
      <family val="2"/>
      <scheme val="minor"/>
    </font>
    <font>
      <sz val="10"/>
      <color rgb="FF000000"/>
      <name val="Times New Roman"/>
      <family val="1"/>
    </font>
    <font>
      <b/>
      <sz val="10"/>
      <color rgb="FF000000"/>
      <name val="Times New Roman"/>
      <family val="1"/>
    </font>
    <font>
      <sz val="10"/>
      <color theme="1"/>
      <name val="Calibri"/>
      <family val="2"/>
      <scheme val="minor"/>
    </font>
    <font>
      <sz val="10"/>
      <color theme="1"/>
      <name val="Times New Roman"/>
      <family val="1"/>
    </font>
    <font>
      <sz val="11"/>
      <color theme="1"/>
      <name val="Calibri"/>
      <family val="2"/>
    </font>
    <font>
      <b/>
      <sz val="10"/>
      <color theme="1"/>
      <name val="Calibri"/>
      <family val="2"/>
      <scheme val="minor"/>
    </font>
    <font>
      <b/>
      <sz val="11"/>
      <color theme="1"/>
      <name val="Calibri"/>
      <family val="2"/>
    </font>
    <font>
      <b/>
      <sz val="12"/>
      <color rgb="FF000000"/>
      <name val="Times New Roman"/>
      <family val="1"/>
    </font>
    <font>
      <sz val="9"/>
      <color theme="1"/>
      <name val="Calibri"/>
      <family val="2"/>
      <scheme val="minor"/>
    </font>
    <font>
      <u/>
      <sz val="10"/>
      <color theme="10"/>
      <name val="Times New Roman"/>
      <family val="1"/>
    </font>
    <font>
      <sz val="10"/>
      <color rgb="FF212529"/>
      <name val="Times New Roman"/>
      <family val="1"/>
    </font>
    <font>
      <b/>
      <sz val="10"/>
      <color theme="1"/>
      <name val="Times New Roman"/>
      <family val="1"/>
    </font>
    <font>
      <sz val="10"/>
      <color rgb="FF383A42"/>
      <name val="Menlo"/>
      <family val="2"/>
    </font>
  </fonts>
  <fills count="4">
    <fill>
      <patternFill patternType="none"/>
    </fill>
    <fill>
      <patternFill patternType="gray125"/>
    </fill>
    <fill>
      <patternFill patternType="solid">
        <fgColor rgb="FFFFFF00"/>
        <bgColor indexed="64"/>
      </patternFill>
    </fill>
    <fill>
      <patternFill patternType="solid">
        <fgColor rgb="FFF2F2F2"/>
        <bgColor indexed="64"/>
      </patternFill>
    </fill>
  </fills>
  <borders count="14">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thin">
        <color auto="1"/>
      </left>
      <right style="thin">
        <color auto="1"/>
      </right>
      <top style="thin">
        <color auto="1"/>
      </top>
      <bottom style="thin">
        <color auto="1"/>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auto="1"/>
      </left>
      <right style="thin">
        <color auto="1"/>
      </right>
      <top/>
      <bottom/>
      <diagonal/>
    </border>
  </borders>
  <cellStyleXfs count="5">
    <xf numFmtId="0" fontId="0" fillId="0" borderId="0"/>
    <xf numFmtId="43" fontId="2" fillId="0" borderId="0"/>
    <xf numFmtId="0" fontId="3" fillId="0" borderId="0"/>
    <xf numFmtId="0" fontId="2" fillId="0" borderId="0"/>
    <xf numFmtId="0" fontId="5" fillId="0" borderId="0"/>
  </cellStyleXfs>
  <cellXfs count="165">
    <xf numFmtId="0" fontId="0" fillId="0" borderId="0" xfId="0"/>
    <xf numFmtId="0" fontId="4" fillId="0" borderId="0" xfId="0" applyFont="1" applyAlignment="1">
      <alignment horizontal="center"/>
    </xf>
    <xf numFmtId="164" fontId="0" fillId="0" borderId="0" xfId="0" applyNumberFormat="1"/>
    <xf numFmtId="0" fontId="7" fillId="0" borderId="0" xfId="0" applyFont="1"/>
    <xf numFmtId="0" fontId="7" fillId="0" borderId="0" xfId="0" applyFont="1" applyAlignment="1">
      <alignment horizontal="left" wrapText="1"/>
    </xf>
    <xf numFmtId="0" fontId="5" fillId="0" borderId="4" xfId="0" applyFont="1" applyBorder="1" applyAlignment="1">
      <alignment horizontal="right" vertical="center"/>
    </xf>
    <xf numFmtId="3" fontId="0" fillId="0" borderId="0" xfId="0" applyNumberFormat="1"/>
    <xf numFmtId="0" fontId="10" fillId="0" borderId="0" xfId="0" applyFont="1"/>
    <xf numFmtId="0" fontId="1" fillId="0" borderId="1" xfId="0" applyFont="1" applyBorder="1" applyAlignment="1">
      <alignment horizontal="left"/>
    </xf>
    <xf numFmtId="0" fontId="5" fillId="0" borderId="2" xfId="0" applyFont="1" applyBorder="1" applyAlignment="1">
      <alignment vertical="center" wrapText="1"/>
    </xf>
    <xf numFmtId="0" fontId="9" fillId="0" borderId="3" xfId="3" applyFont="1" applyBorder="1" applyAlignment="1">
      <alignment vertical="center" wrapText="1"/>
    </xf>
    <xf numFmtId="3" fontId="2" fillId="0" borderId="3" xfId="3" applyNumberFormat="1" applyBorder="1"/>
    <xf numFmtId="0" fontId="11" fillId="0" borderId="3" xfId="3" applyFont="1" applyBorder="1" applyAlignment="1">
      <alignment vertical="center" wrapText="1"/>
    </xf>
    <xf numFmtId="3" fontId="4" fillId="0" borderId="3" xfId="3" applyNumberFormat="1" applyFont="1" applyBorder="1"/>
    <xf numFmtId="0" fontId="9" fillId="0" borderId="3" xfId="3" applyFont="1" applyBorder="1" applyAlignment="1">
      <alignment horizontal="left" vertical="center" wrapText="1"/>
    </xf>
    <xf numFmtId="0" fontId="9" fillId="0" borderId="0" xfId="3" applyFont="1" applyAlignment="1">
      <alignment vertical="center" wrapText="1"/>
    </xf>
    <xf numFmtId="3" fontId="2" fillId="0" borderId="0" xfId="3" applyNumberFormat="1"/>
    <xf numFmtId="0" fontId="12" fillId="3" borderId="5" xfId="0" applyFont="1" applyFill="1" applyBorder="1" applyAlignment="1">
      <alignment horizontal="center" vertical="center"/>
    </xf>
    <xf numFmtId="0" fontId="12" fillId="3" borderId="6" xfId="0" applyFont="1" applyFill="1" applyBorder="1" applyAlignment="1">
      <alignment horizontal="center" vertical="center"/>
    </xf>
    <xf numFmtId="0" fontId="5" fillId="0" borderId="0" xfId="4" applyAlignment="1">
      <alignment horizontal="left" vertical="top"/>
    </xf>
    <xf numFmtId="0" fontId="5" fillId="0" borderId="8" xfId="0" applyFont="1" applyBorder="1" applyAlignment="1">
      <alignment vertical="center"/>
    </xf>
    <xf numFmtId="0" fontId="5" fillId="0" borderId="4" xfId="0" applyFont="1" applyBorder="1" applyAlignment="1">
      <alignment vertical="center"/>
    </xf>
    <xf numFmtId="0" fontId="8" fillId="0" borderId="4" xfId="0" applyFont="1" applyBorder="1"/>
    <xf numFmtId="0" fontId="5" fillId="2" borderId="8" xfId="0" applyFont="1" applyFill="1" applyBorder="1" applyAlignment="1">
      <alignment vertical="center"/>
    </xf>
    <xf numFmtId="0" fontId="5" fillId="2" borderId="4" xfId="0" applyFont="1" applyFill="1" applyBorder="1" applyAlignment="1">
      <alignment horizontal="right" vertical="center"/>
    </xf>
    <xf numFmtId="0" fontId="5" fillId="2" borderId="4" xfId="0" applyFont="1" applyFill="1" applyBorder="1" applyAlignment="1">
      <alignment vertical="center"/>
    </xf>
    <xf numFmtId="0" fontId="5" fillId="2" borderId="4" xfId="0" applyFont="1" applyFill="1" applyBorder="1" applyAlignment="1">
      <alignment vertical="center" wrapText="1"/>
    </xf>
    <xf numFmtId="0" fontId="5" fillId="2" borderId="0" xfId="4" applyFill="1" applyAlignment="1">
      <alignment horizontal="left" vertical="top"/>
    </xf>
    <xf numFmtId="2" fontId="11" fillId="0" borderId="3" xfId="3" applyNumberFormat="1" applyFont="1" applyBorder="1" applyAlignment="1">
      <alignment horizontal="left" vertical="center"/>
    </xf>
    <xf numFmtId="2" fontId="9" fillId="0" borderId="3" xfId="3" applyNumberFormat="1" applyFont="1" applyBorder="1" applyAlignment="1">
      <alignment horizontal="left" vertical="center"/>
    </xf>
    <xf numFmtId="2" fontId="9" fillId="0" borderId="0" xfId="3" applyNumberFormat="1" applyFont="1" applyAlignment="1">
      <alignment horizontal="left" vertical="center"/>
    </xf>
    <xf numFmtId="165" fontId="9" fillId="0" borderId="3" xfId="3" applyNumberFormat="1" applyFont="1" applyBorder="1" applyAlignment="1">
      <alignment horizontal="left" vertical="center"/>
    </xf>
    <xf numFmtId="43" fontId="0" fillId="0" borderId="0" xfId="1" applyFont="1"/>
    <xf numFmtId="0" fontId="13" fillId="0" borderId="0" xfId="0" applyFont="1"/>
    <xf numFmtId="0" fontId="4" fillId="0" borderId="0" xfId="0" applyFont="1"/>
    <xf numFmtId="0" fontId="7" fillId="0" borderId="0" xfId="0" applyFont="1" applyAlignment="1">
      <alignment horizontal="right"/>
    </xf>
    <xf numFmtId="0" fontId="17" fillId="0" borderId="0" xfId="0" applyFont="1"/>
    <xf numFmtId="0" fontId="6" fillId="0" borderId="10" xfId="0" applyFont="1" applyBorder="1" applyAlignment="1">
      <alignment horizontal="left"/>
    </xf>
    <xf numFmtId="3" fontId="6" fillId="0" borderId="10" xfId="0" applyNumberFormat="1" applyFont="1" applyBorder="1" applyAlignment="1">
      <alignment horizontal="left"/>
    </xf>
    <xf numFmtId="3" fontId="5" fillId="0" borderId="10" xfId="0" applyNumberFormat="1" applyFont="1" applyBorder="1" applyAlignment="1">
      <alignment horizontal="left" wrapText="1"/>
    </xf>
    <xf numFmtId="3" fontId="6" fillId="0" borderId="10" xfId="0" applyNumberFormat="1" applyFont="1" applyBorder="1" applyAlignment="1">
      <alignment horizontal="right"/>
    </xf>
    <xf numFmtId="3" fontId="6" fillId="0" borderId="10" xfId="0" applyNumberFormat="1" applyFont="1" applyBorder="1" applyAlignment="1">
      <alignment horizontal="left" wrapText="1"/>
    </xf>
    <xf numFmtId="0" fontId="5" fillId="0" borderId="10" xfId="0" applyFont="1" applyBorder="1" applyAlignment="1">
      <alignment horizontal="left" wrapText="1"/>
    </xf>
    <xf numFmtId="166" fontId="8" fillId="0" borderId="10" xfId="1" applyNumberFormat="1" applyFont="1" applyBorder="1" applyAlignment="1">
      <alignment horizontal="right"/>
    </xf>
    <xf numFmtId="3" fontId="8" fillId="0" borderId="10" xfId="1" applyNumberFormat="1" applyFont="1" applyBorder="1" applyAlignment="1">
      <alignment horizontal="right"/>
    </xf>
    <xf numFmtId="0" fontId="8" fillId="0" borderId="10" xfId="0" applyFont="1" applyBorder="1" applyAlignment="1">
      <alignment horizontal="left"/>
    </xf>
    <xf numFmtId="166" fontId="8" fillId="0" borderId="10" xfId="1" applyNumberFormat="1" applyFont="1" applyBorder="1"/>
    <xf numFmtId="0" fontId="8" fillId="0" borderId="10" xfId="0" applyFont="1" applyBorder="1" applyAlignment="1">
      <alignment horizontal="left" wrapText="1"/>
    </xf>
    <xf numFmtId="0" fontId="14" fillId="0" borderId="10" xfId="2" applyFont="1" applyBorder="1" applyAlignment="1">
      <alignment horizontal="left"/>
    </xf>
    <xf numFmtId="0" fontId="8" fillId="0" borderId="10" xfId="0" applyFont="1" applyBorder="1"/>
    <xf numFmtId="0" fontId="6" fillId="0" borderId="10" xfId="0" applyFont="1" applyBorder="1" applyAlignment="1">
      <alignment horizontal="left" wrapText="1"/>
    </xf>
    <xf numFmtId="3" fontId="6" fillId="0" borderId="10" xfId="0" applyNumberFormat="1" applyFont="1" applyBorder="1" applyAlignment="1">
      <alignment horizontal="right" wrapText="1"/>
    </xf>
    <xf numFmtId="166" fontId="8" fillId="0" borderId="10" xfId="1" applyNumberFormat="1" applyFont="1" applyBorder="1" applyAlignment="1">
      <alignment wrapText="1"/>
    </xf>
    <xf numFmtId="0" fontId="5" fillId="0" borderId="10" xfId="0" applyFont="1" applyBorder="1" applyAlignment="1">
      <alignment horizontal="left"/>
    </xf>
    <xf numFmtId="167" fontId="5" fillId="0" borderId="10" xfId="0" applyNumberFormat="1" applyFont="1" applyBorder="1" applyAlignment="1">
      <alignment horizontal="left"/>
    </xf>
    <xf numFmtId="0" fontId="8" fillId="0" borderId="10" xfId="0" quotePrefix="1" applyFont="1" applyBorder="1" applyAlignment="1">
      <alignment horizontal="left"/>
    </xf>
    <xf numFmtId="0" fontId="5" fillId="0" borderId="10" xfId="0" applyFont="1" applyBorder="1" applyAlignment="1">
      <alignment wrapText="1"/>
    </xf>
    <xf numFmtId="3" fontId="5" fillId="0" borderId="10" xfId="0" applyNumberFormat="1" applyFont="1" applyBorder="1" applyAlignment="1">
      <alignment horizontal="right"/>
    </xf>
    <xf numFmtId="0" fontId="14" fillId="0" borderId="10" xfId="2" applyFont="1" applyBorder="1" applyAlignment="1">
      <alignment wrapText="1"/>
    </xf>
    <xf numFmtId="0" fontId="8" fillId="0" borderId="10" xfId="0" applyFont="1" applyBorder="1" applyAlignment="1">
      <alignment wrapText="1"/>
    </xf>
    <xf numFmtId="3" fontId="15" fillId="0" borderId="10" xfId="0" applyNumberFormat="1" applyFont="1" applyBorder="1" applyAlignment="1">
      <alignment horizontal="right"/>
    </xf>
    <xf numFmtId="3" fontId="8" fillId="0" borderId="10" xfId="0" applyNumberFormat="1" applyFont="1" applyBorder="1" applyAlignment="1">
      <alignment horizontal="right"/>
    </xf>
    <xf numFmtId="0" fontId="5" fillId="0" borderId="10" xfId="0" applyFont="1" applyBorder="1" applyAlignment="1">
      <alignment horizontal="right"/>
    </xf>
    <xf numFmtId="0" fontId="8" fillId="0" borderId="10" xfId="0" applyFont="1" applyBorder="1" applyAlignment="1">
      <alignment horizontal="center" wrapText="1"/>
    </xf>
    <xf numFmtId="3" fontId="5" fillId="0" borderId="10" xfId="0" applyNumberFormat="1" applyFont="1" applyBorder="1" applyAlignment="1">
      <alignment horizontal="right" wrapText="1"/>
    </xf>
    <xf numFmtId="0" fontId="5" fillId="0" borderId="10" xfId="0" applyFont="1" applyBorder="1" applyAlignment="1">
      <alignment horizontal="center" wrapText="1"/>
    </xf>
    <xf numFmtId="0" fontId="8" fillId="0" borderId="10" xfId="0" applyFont="1" applyBorder="1" applyAlignment="1">
      <alignment horizontal="right"/>
    </xf>
    <xf numFmtId="0" fontId="8" fillId="0" borderId="10" xfId="0" applyFont="1" applyBorder="1" applyAlignment="1">
      <alignment horizontal="center"/>
    </xf>
    <xf numFmtId="0" fontId="6" fillId="0" borderId="10" xfId="0" applyFont="1" applyBorder="1" applyAlignment="1">
      <alignment horizontal="right" wrapText="1"/>
    </xf>
    <xf numFmtId="168" fontId="8" fillId="0" borderId="10" xfId="1" applyNumberFormat="1" applyFont="1" applyBorder="1" applyAlignment="1">
      <alignment horizontal="right"/>
    </xf>
    <xf numFmtId="166" fontId="8" fillId="0" borderId="10" xfId="1" quotePrefix="1" applyNumberFormat="1" applyFont="1" applyBorder="1"/>
    <xf numFmtId="0" fontId="5" fillId="0" borderId="10" xfId="0" applyFont="1" applyBorder="1"/>
    <xf numFmtId="164" fontId="8" fillId="0" borderId="10" xfId="0" applyNumberFormat="1" applyFont="1" applyBorder="1" applyAlignment="1">
      <alignment horizontal="right"/>
    </xf>
    <xf numFmtId="0" fontId="8" fillId="0" borderId="10" xfId="0" quotePrefix="1" applyFont="1" applyBorder="1"/>
    <xf numFmtId="0" fontId="5" fillId="0" borderId="10" xfId="0" applyFont="1" applyBorder="1" applyAlignment="1">
      <alignment vertical="center" wrapText="1"/>
    </xf>
    <xf numFmtId="0" fontId="14" fillId="0" borderId="10" xfId="2" applyFont="1" applyBorder="1"/>
    <xf numFmtId="0" fontId="8" fillId="0" borderId="10" xfId="3" applyFont="1" applyBorder="1" applyAlignment="1">
      <alignment wrapText="1"/>
    </xf>
    <xf numFmtId="0" fontId="16" fillId="0" borderId="10" xfId="0" applyFont="1" applyBorder="1"/>
    <xf numFmtId="0" fontId="8" fillId="0" borderId="10" xfId="0" applyFont="1" applyBorder="1" applyAlignment="1">
      <alignment horizontal="center" vertical="center" wrapText="1"/>
    </xf>
    <xf numFmtId="0" fontId="16" fillId="0" borderId="10" xfId="0" applyFont="1" applyBorder="1" applyAlignment="1">
      <alignment horizontal="right"/>
    </xf>
    <xf numFmtId="169" fontId="16" fillId="0" borderId="10" xfId="0" applyNumberFormat="1" applyFont="1" applyBorder="1" applyAlignment="1">
      <alignment horizontal="right"/>
    </xf>
    <xf numFmtId="0" fontId="16" fillId="0" borderId="10" xfId="0" applyFont="1" applyBorder="1" applyAlignment="1">
      <alignment horizontal="left" wrapText="1"/>
    </xf>
    <xf numFmtId="0" fontId="10" fillId="0" borderId="0" xfId="0" applyFont="1" applyAlignment="1">
      <alignment horizontal="left" wrapText="1"/>
    </xf>
    <xf numFmtId="0" fontId="3" fillId="0" borderId="10" xfId="2" applyBorder="1"/>
    <xf numFmtId="0" fontId="3" fillId="0" borderId="10" xfId="2" applyBorder="1" applyAlignment="1">
      <alignment horizontal="left"/>
    </xf>
    <xf numFmtId="165" fontId="0" fillId="0" borderId="0" xfId="0" applyNumberFormat="1"/>
    <xf numFmtId="0" fontId="0" fillId="0" borderId="0" xfId="0" applyAlignment="1">
      <alignment wrapText="1"/>
    </xf>
    <xf numFmtId="3" fontId="5" fillId="0" borderId="0" xfId="0" applyNumberFormat="1" applyFont="1" applyAlignment="1">
      <alignment horizontal="left" wrapText="1"/>
    </xf>
    <xf numFmtId="0" fontId="5" fillId="0" borderId="11" xfId="0" applyFont="1" applyBorder="1" applyAlignment="1">
      <alignment horizontal="left"/>
    </xf>
    <xf numFmtId="3" fontId="6" fillId="0" borderId="11" xfId="0" applyNumberFormat="1" applyFont="1" applyBorder="1" applyAlignment="1">
      <alignment horizontal="left"/>
    </xf>
    <xf numFmtId="0" fontId="6" fillId="0" borderId="3" xfId="0" applyFont="1" applyBorder="1" applyAlignment="1">
      <alignment horizontal="left" wrapText="1"/>
    </xf>
    <xf numFmtId="3" fontId="6" fillId="0" borderId="3" xfId="0" applyNumberFormat="1" applyFont="1" applyBorder="1" applyAlignment="1">
      <alignment horizontal="left" wrapText="1"/>
    </xf>
    <xf numFmtId="4" fontId="6" fillId="0" borderId="3" xfId="0" applyNumberFormat="1" applyFont="1" applyBorder="1" applyAlignment="1">
      <alignment horizontal="left" wrapText="1"/>
    </xf>
    <xf numFmtId="0" fontId="6" fillId="0" borderId="3" xfId="0" applyFont="1" applyBorder="1" applyAlignment="1">
      <alignment horizontal="left"/>
    </xf>
    <xf numFmtId="0" fontId="16" fillId="0" borderId="3" xfId="0" applyFont="1" applyBorder="1" applyAlignment="1">
      <alignment horizontal="left" wrapText="1"/>
    </xf>
    <xf numFmtId="3" fontId="6" fillId="0" borderId="3" xfId="0" applyNumberFormat="1" applyFont="1" applyBorder="1" applyAlignment="1">
      <alignment horizontal="left"/>
    </xf>
    <xf numFmtId="3" fontId="5" fillId="0" borderId="3" xfId="0" applyNumberFormat="1" applyFont="1" applyBorder="1" applyAlignment="1">
      <alignment horizontal="left" wrapText="1"/>
    </xf>
    <xf numFmtId="4" fontId="5" fillId="0" borderId="3" xfId="0" applyNumberFormat="1" applyFont="1" applyBorder="1" applyAlignment="1">
      <alignment horizontal="left" wrapText="1"/>
    </xf>
    <xf numFmtId="3" fontId="6" fillId="0" borderId="3" xfId="0" applyNumberFormat="1" applyFont="1" applyBorder="1" applyAlignment="1">
      <alignment horizontal="right"/>
    </xf>
    <xf numFmtId="0" fontId="16" fillId="0" borderId="3" xfId="0" applyFont="1" applyBorder="1"/>
    <xf numFmtId="0" fontId="16" fillId="0" borderId="3" xfId="0" applyFont="1" applyBorder="1" applyAlignment="1">
      <alignment horizontal="right"/>
    </xf>
    <xf numFmtId="0" fontId="5" fillId="0" borderId="3" xfId="0" applyFont="1" applyBorder="1" applyAlignment="1">
      <alignment horizontal="left" wrapText="1"/>
    </xf>
    <xf numFmtId="3" fontId="8" fillId="0" borderId="3" xfId="0" applyNumberFormat="1" applyFont="1" applyBorder="1" applyAlignment="1">
      <alignment horizontal="right"/>
    </xf>
    <xf numFmtId="0" fontId="8" fillId="0" borderId="3" xfId="0" applyFont="1" applyBorder="1" applyAlignment="1">
      <alignment horizontal="left"/>
    </xf>
    <xf numFmtId="166" fontId="8" fillId="0" borderId="3" xfId="0" applyNumberFormat="1" applyFont="1" applyBorder="1"/>
    <xf numFmtId="0" fontId="8" fillId="0" borderId="3" xfId="0" applyFont="1" applyBorder="1" applyAlignment="1">
      <alignment horizontal="right"/>
    </xf>
    <xf numFmtId="0" fontId="8" fillId="0" borderId="3" xfId="0" applyFont="1" applyBorder="1" applyAlignment="1">
      <alignment horizontal="left" wrapText="1"/>
    </xf>
    <xf numFmtId="0" fontId="14" fillId="0" borderId="3" xfId="0" applyFont="1" applyBorder="1" applyAlignment="1">
      <alignment horizontal="left"/>
    </xf>
    <xf numFmtId="0" fontId="8" fillId="0" borderId="3" xfId="0" applyFont="1" applyBorder="1"/>
    <xf numFmtId="169" fontId="16" fillId="0" borderId="3" xfId="0" applyNumberFormat="1" applyFont="1" applyBorder="1" applyAlignment="1">
      <alignment horizontal="right"/>
    </xf>
    <xf numFmtId="3" fontId="6" fillId="0" borderId="3" xfId="0" applyNumberFormat="1" applyFont="1" applyBorder="1" applyAlignment="1">
      <alignment horizontal="right" wrapText="1"/>
    </xf>
    <xf numFmtId="0" fontId="6" fillId="0" borderId="3" xfId="0" applyFont="1" applyBorder="1" applyAlignment="1">
      <alignment horizontal="right" wrapText="1"/>
    </xf>
    <xf numFmtId="166" fontId="8" fillId="0" borderId="3" xfId="0" applyNumberFormat="1" applyFont="1" applyBorder="1" applyAlignment="1">
      <alignment horizontal="right"/>
    </xf>
    <xf numFmtId="166" fontId="8" fillId="0" borderId="3" xfId="0" applyNumberFormat="1" applyFont="1" applyBorder="1" applyAlignment="1">
      <alignment wrapText="1"/>
    </xf>
    <xf numFmtId="0" fontId="5" fillId="0" borderId="3" xfId="0" applyFont="1" applyBorder="1" applyAlignment="1">
      <alignment horizontal="left"/>
    </xf>
    <xf numFmtId="167" fontId="5" fillId="0" borderId="3" xfId="0" applyNumberFormat="1" applyFont="1" applyBorder="1" applyAlignment="1">
      <alignment horizontal="left"/>
    </xf>
    <xf numFmtId="0" fontId="3" fillId="0" borderId="3" xfId="0" applyFont="1" applyBorder="1" applyAlignment="1">
      <alignment horizontal="left"/>
    </xf>
    <xf numFmtId="0" fontId="5" fillId="0" borderId="3" xfId="0" applyFont="1" applyBorder="1" applyAlignment="1">
      <alignment wrapText="1"/>
    </xf>
    <xf numFmtId="0" fontId="8" fillId="0" borderId="3" xfId="0" applyFont="1" applyBorder="1" applyAlignment="1">
      <alignment wrapText="1"/>
    </xf>
    <xf numFmtId="0" fontId="3" fillId="0" borderId="3" xfId="0" applyFont="1" applyBorder="1"/>
    <xf numFmtId="0" fontId="8" fillId="0" borderId="3" xfId="0" applyFont="1" applyBorder="1" applyAlignment="1">
      <alignment horizontal="center" wrapText="1"/>
    </xf>
    <xf numFmtId="0" fontId="5" fillId="0" borderId="3" xfId="0" applyFont="1" applyBorder="1"/>
    <xf numFmtId="4" fontId="7" fillId="0" borderId="3" xfId="0" applyNumberFormat="1" applyFont="1" applyBorder="1" applyAlignment="1">
      <alignment horizontal="left" wrapText="1"/>
    </xf>
    <xf numFmtId="0" fontId="7" fillId="0" borderId="3" xfId="0" applyFont="1" applyBorder="1" applyAlignment="1">
      <alignment horizontal="left" wrapText="1"/>
    </xf>
    <xf numFmtId="3" fontId="7" fillId="0" borderId="3" xfId="0" applyNumberFormat="1" applyFont="1" applyBorder="1" applyAlignment="1">
      <alignment horizontal="right"/>
    </xf>
    <xf numFmtId="0" fontId="7" fillId="0" borderId="3" xfId="0" applyFont="1" applyBorder="1" applyAlignment="1">
      <alignment horizontal="right"/>
    </xf>
    <xf numFmtId="0" fontId="7" fillId="0" borderId="3" xfId="0" applyFont="1" applyBorder="1"/>
    <xf numFmtId="0" fontId="6" fillId="2" borderId="3" xfId="0" applyFont="1" applyFill="1" applyBorder="1" applyAlignment="1">
      <alignment horizontal="left"/>
    </xf>
    <xf numFmtId="3" fontId="6" fillId="2" borderId="3" xfId="0" applyNumberFormat="1" applyFont="1" applyFill="1" applyBorder="1" applyAlignment="1">
      <alignment horizontal="left"/>
    </xf>
    <xf numFmtId="0" fontId="5" fillId="2" borderId="3" xfId="0" applyFont="1" applyFill="1" applyBorder="1" applyAlignment="1">
      <alignment wrapText="1"/>
    </xf>
    <xf numFmtId="3" fontId="5" fillId="2" borderId="3" xfId="0" applyNumberFormat="1" applyFont="1" applyFill="1" applyBorder="1" applyAlignment="1">
      <alignment horizontal="left" wrapText="1"/>
    </xf>
    <xf numFmtId="4" fontId="5" fillId="2" borderId="3" xfId="0" applyNumberFormat="1" applyFont="1" applyFill="1" applyBorder="1" applyAlignment="1">
      <alignment horizontal="left" wrapText="1"/>
    </xf>
    <xf numFmtId="3" fontId="8" fillId="2" borderId="3" xfId="0" applyNumberFormat="1" applyFont="1" applyFill="1" applyBorder="1" applyAlignment="1">
      <alignment horizontal="right"/>
    </xf>
    <xf numFmtId="166" fontId="8" fillId="2" borderId="3" xfId="0" applyNumberFormat="1" applyFont="1" applyFill="1" applyBorder="1"/>
    <xf numFmtId="0" fontId="8" fillId="2" borderId="3" xfId="0" applyFont="1" applyFill="1" applyBorder="1"/>
    <xf numFmtId="0" fontId="8" fillId="2" borderId="3" xfId="0" applyFont="1" applyFill="1" applyBorder="1" applyAlignment="1">
      <alignment horizontal="right"/>
    </xf>
    <xf numFmtId="0" fontId="8" fillId="2" borderId="3" xfId="0" applyFont="1" applyFill="1" applyBorder="1" applyAlignment="1">
      <alignment wrapText="1"/>
    </xf>
    <xf numFmtId="0" fontId="16" fillId="2" borderId="3" xfId="0" applyFont="1" applyFill="1" applyBorder="1"/>
    <xf numFmtId="169" fontId="16" fillId="2" borderId="3" xfId="0" applyNumberFormat="1" applyFont="1" applyFill="1" applyBorder="1" applyAlignment="1">
      <alignment horizontal="right"/>
    </xf>
    <xf numFmtId="0" fontId="16" fillId="2" borderId="3" xfId="0" applyFont="1" applyFill="1" applyBorder="1" applyAlignment="1">
      <alignment horizontal="right"/>
    </xf>
    <xf numFmtId="0" fontId="0" fillId="2" borderId="0" xfId="0" applyFill="1"/>
    <xf numFmtId="0" fontId="8" fillId="0" borderId="10" xfId="0" applyFont="1" applyBorder="1" applyAlignment="1">
      <alignment horizontal="left" wrapText="1"/>
    </xf>
    <xf numFmtId="0" fontId="0" fillId="0" borderId="11" xfId="0" applyBorder="1"/>
    <xf numFmtId="0" fontId="0" fillId="0" borderId="12" xfId="0" applyBorder="1"/>
    <xf numFmtId="0" fontId="8" fillId="0" borderId="10" xfId="0" applyFont="1" applyBorder="1" applyAlignment="1">
      <alignment horizontal="center" wrapText="1"/>
    </xf>
    <xf numFmtId="0" fontId="8" fillId="0" borderId="10" xfId="0" applyFont="1" applyBorder="1" applyAlignment="1">
      <alignment wrapText="1"/>
    </xf>
    <xf numFmtId="0" fontId="14" fillId="0" borderId="10" xfId="2" applyFont="1" applyBorder="1" applyAlignment="1">
      <alignment horizontal="left" wrapText="1"/>
    </xf>
    <xf numFmtId="0" fontId="8" fillId="0" borderId="10" xfId="0" applyFont="1" applyBorder="1" applyAlignment="1">
      <alignment horizontal="center"/>
    </xf>
    <xf numFmtId="0" fontId="14" fillId="0" borderId="10" xfId="2" applyFont="1" applyBorder="1" applyAlignment="1">
      <alignment horizontal="left"/>
    </xf>
    <xf numFmtId="0" fontId="14" fillId="0" borderId="10" xfId="2" applyFont="1" applyBorder="1" applyAlignment="1">
      <alignment horizontal="center" wrapText="1"/>
    </xf>
    <xf numFmtId="0" fontId="5" fillId="0" borderId="10" xfId="0" applyFont="1" applyBorder="1" applyAlignment="1">
      <alignment horizontal="center" wrapText="1"/>
    </xf>
    <xf numFmtId="3" fontId="11" fillId="2" borderId="3" xfId="3" applyNumberFormat="1" applyFont="1" applyFill="1" applyBorder="1" applyAlignment="1">
      <alignment horizontal="center" vertical="center" wrapText="1"/>
    </xf>
    <xf numFmtId="0" fontId="0" fillId="0" borderId="9" xfId="0" applyBorder="1"/>
    <xf numFmtId="0" fontId="11" fillId="2" borderId="3" xfId="3" applyFont="1" applyFill="1" applyBorder="1" applyAlignment="1">
      <alignment horizontal="center" vertical="center" wrapText="1"/>
    </xf>
    <xf numFmtId="0" fontId="11" fillId="2" borderId="3" xfId="3" applyFont="1" applyFill="1" applyBorder="1" applyAlignment="1">
      <alignment horizontal="left" vertical="center" wrapText="1"/>
    </xf>
    <xf numFmtId="0" fontId="5" fillId="3" borderId="5" xfId="0" applyFont="1" applyFill="1" applyBorder="1" applyAlignment="1">
      <alignment horizontal="center" vertical="center"/>
    </xf>
    <xf numFmtId="0" fontId="0" fillId="0" borderId="7" xfId="0" applyBorder="1"/>
    <xf numFmtId="0" fontId="0" fillId="0" borderId="6" xfId="0" applyBorder="1"/>
    <xf numFmtId="0" fontId="0" fillId="0" borderId="0" xfId="0" applyAlignment="1">
      <alignment horizontal="center" wrapText="1"/>
    </xf>
    <xf numFmtId="0" fontId="0" fillId="0" borderId="0" xfId="0"/>
    <xf numFmtId="0" fontId="8" fillId="0" borderId="3" xfId="0" applyFont="1" applyBorder="1" applyAlignment="1">
      <alignment horizontal="left" wrapText="1"/>
    </xf>
    <xf numFmtId="0" fontId="0" fillId="0" borderId="13" xfId="0" applyBorder="1"/>
    <xf numFmtId="0" fontId="14" fillId="0" borderId="3" xfId="0" applyFont="1" applyBorder="1" applyAlignment="1">
      <alignment horizontal="left" wrapText="1"/>
    </xf>
    <xf numFmtId="0" fontId="14" fillId="0" borderId="3" xfId="0" applyFont="1" applyBorder="1" applyAlignment="1">
      <alignment horizontal="left"/>
    </xf>
    <xf numFmtId="0" fontId="8" fillId="0" borderId="3" xfId="0" applyFont="1" applyBorder="1" applyAlignment="1">
      <alignment horizontal="center" wrapText="1"/>
    </xf>
  </cellXfs>
  <cellStyles count="5">
    <cellStyle name="Comma" xfId="1" builtinId="3"/>
    <cellStyle name="Hyperlink" xfId="2" builtinId="8"/>
    <cellStyle name="Normal" xfId="0" builtinId="0"/>
    <cellStyle name="Normal 2" xfId="4" xr:uid="{00000000-0005-0000-0000-000004000000}"/>
    <cellStyle name="Normal 2 5" xfId="3" xr:uid="{00000000-0005-0000-0000-000003000000}"/>
  </cellStyles>
  <dxfs count="302">
    <dxf>
      <fill>
        <patternFill>
          <bgColor theme="6" tint="0.79998168889431442"/>
        </patternFill>
      </fill>
    </dxf>
    <dxf>
      <fill>
        <patternFill>
          <bgColor rgb="FFFFFFBA"/>
        </patternFill>
      </fill>
    </dxf>
    <dxf>
      <fill>
        <patternFill>
          <bgColor theme="9" tint="0.39994506668294322"/>
        </patternFill>
      </fill>
    </dxf>
    <dxf>
      <fill>
        <patternFill>
          <bgColor theme="9" tint="0.39994506668294322"/>
        </patternFill>
      </fill>
    </dxf>
    <dxf>
      <font>
        <b/>
      </font>
    </dxf>
    <dxf>
      <fill>
        <patternFill>
          <bgColor rgb="FFFFFFBA"/>
        </patternFill>
      </fill>
    </dxf>
    <dxf>
      <fill>
        <patternFill>
          <bgColor theme="6" tint="0.79998168889431442"/>
        </patternFill>
      </fill>
    </dxf>
    <dxf>
      <fill>
        <patternFill>
          <bgColor theme="6" tint="0.79998168889431442"/>
        </patternFill>
      </fill>
    </dxf>
    <dxf>
      <fill>
        <patternFill>
          <bgColor theme="9" tint="0.39994506668294322"/>
        </patternFill>
      </fill>
    </dxf>
    <dxf>
      <fill>
        <patternFill>
          <bgColor rgb="FFFFFFBA"/>
        </patternFill>
      </fill>
    </dxf>
    <dxf>
      <fill>
        <patternFill>
          <bgColor theme="9" tint="0.39994506668294322"/>
        </patternFill>
      </fill>
    </dxf>
    <dxf>
      <font>
        <b/>
      </font>
    </dxf>
    <dxf>
      <fill>
        <patternFill>
          <bgColor theme="6" tint="0.79998168889431442"/>
        </patternFill>
      </fill>
    </dxf>
    <dxf>
      <fill>
        <patternFill>
          <bgColor rgb="FFFFFFBA"/>
        </patternFill>
      </fill>
    </dxf>
    <dxf>
      <font>
        <b/>
      </font>
    </dxf>
    <dxf>
      <fill>
        <patternFill>
          <bgColor rgb="FFFFFFBA"/>
        </patternFill>
      </fill>
    </dxf>
    <dxf>
      <fill>
        <patternFill>
          <bgColor theme="9" tint="0.39994506668294322"/>
        </patternFill>
      </fill>
    </dxf>
    <dxf>
      <fill>
        <patternFill>
          <bgColor theme="6" tint="0.79998168889431442"/>
        </patternFill>
      </fill>
    </dxf>
    <dxf>
      <font>
        <b/>
      </font>
    </dxf>
    <dxf>
      <fill>
        <patternFill>
          <bgColor theme="9" tint="0.39994506668294322"/>
        </patternFill>
      </fill>
    </dxf>
    <dxf>
      <fill>
        <patternFill>
          <bgColor rgb="FFFFFFBA"/>
        </patternFill>
      </fill>
    </dxf>
    <dxf>
      <fill>
        <patternFill>
          <bgColor theme="6" tint="0.79998168889431442"/>
        </patternFill>
      </fill>
    </dxf>
    <dxf>
      <fill>
        <patternFill>
          <bgColor rgb="FFFFFFBA"/>
        </patternFill>
      </fill>
    </dxf>
    <dxf>
      <fill>
        <patternFill>
          <bgColor theme="9" tint="0.39994506668294322"/>
        </patternFill>
      </fill>
    </dxf>
    <dxf>
      <font>
        <b/>
      </font>
    </dxf>
    <dxf>
      <font>
        <b/>
      </font>
    </dxf>
    <dxf>
      <fill>
        <patternFill>
          <bgColor rgb="FFFFFFBA"/>
        </patternFill>
      </fill>
    </dxf>
    <dxf>
      <fill>
        <patternFill>
          <bgColor theme="6" tint="0.79998168889431442"/>
        </patternFill>
      </fill>
    </dxf>
    <dxf>
      <font>
        <b/>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ont>
        <b/>
      </font>
    </dxf>
    <dxf>
      <fill>
        <patternFill>
          <bgColor theme="6" tint="0.79998168889431442"/>
        </patternFill>
      </fill>
    </dxf>
    <dxf>
      <fill>
        <patternFill>
          <bgColor rgb="FFFFFFBA"/>
        </patternFill>
      </fill>
    </dxf>
    <dxf>
      <fill>
        <patternFill>
          <bgColor theme="6" tint="0.79998168889431442"/>
        </patternFill>
      </fill>
    </dxf>
    <dxf>
      <font>
        <b/>
      </font>
    </dxf>
    <dxf>
      <fill>
        <patternFill>
          <bgColor theme="9" tint="0.39994506668294322"/>
        </patternFill>
      </fill>
    </dxf>
    <dxf>
      <font>
        <b/>
      </font>
    </dxf>
    <dxf>
      <fill>
        <patternFill>
          <bgColor theme="9" tint="0.39994506668294322"/>
        </patternFill>
      </fill>
    </dxf>
    <dxf>
      <fill>
        <patternFill>
          <bgColor rgb="FFFFFFBA"/>
        </patternFill>
      </fill>
    </dxf>
    <dxf>
      <fill>
        <patternFill>
          <bgColor theme="6" tint="0.79998168889431442"/>
        </patternFill>
      </fill>
    </dxf>
    <dxf>
      <font>
        <b/>
      </font>
    </dxf>
    <dxf>
      <fill>
        <patternFill>
          <bgColor theme="6" tint="0.79998168889431442"/>
        </patternFill>
      </fill>
    </dxf>
    <dxf>
      <fill>
        <patternFill>
          <bgColor rgb="FFFFFFBA"/>
        </patternFill>
      </fill>
    </dxf>
    <dxf>
      <fill>
        <patternFill>
          <bgColor theme="9" tint="0.39994506668294322"/>
        </patternFill>
      </fill>
    </dxf>
    <dxf>
      <fill>
        <patternFill>
          <bgColor theme="6" tint="0.79998168889431442"/>
        </patternFill>
      </fill>
    </dxf>
    <dxf>
      <fill>
        <patternFill>
          <bgColor rgb="FFFFFFBA"/>
        </patternFill>
      </fill>
    </dxf>
    <dxf>
      <fill>
        <patternFill>
          <bgColor theme="9" tint="0.3999450666829432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font>
    </dxf>
    <dxf>
      <font>
        <b/>
      </font>
    </dxf>
    <dxf>
      <fill>
        <patternFill>
          <bgColor theme="6" tint="0.79998168889431442"/>
        </patternFill>
      </fill>
    </dxf>
    <dxf>
      <fill>
        <patternFill>
          <bgColor rgb="FFFFFFBA"/>
        </patternFill>
      </fill>
    </dxf>
    <dxf>
      <fill>
        <patternFill>
          <bgColor theme="9" tint="0.39994506668294322"/>
        </patternFill>
      </fill>
    </dxf>
    <dxf>
      <fill>
        <patternFill>
          <bgColor theme="6" tint="0.79998168889431442"/>
        </patternFill>
      </fill>
    </dxf>
    <dxf>
      <fill>
        <patternFill>
          <bgColor rgb="FFFFFFBA"/>
        </patternFill>
      </fill>
    </dxf>
    <dxf>
      <fill>
        <patternFill>
          <bgColor theme="9" tint="0.39994506668294322"/>
        </patternFill>
      </fill>
    </dxf>
    <dxf>
      <fill>
        <patternFill>
          <bgColor theme="9" tint="0.39994506668294322"/>
        </patternFill>
      </fill>
    </dxf>
    <dxf>
      <fill>
        <patternFill>
          <bgColor rgb="FFFFFFBA"/>
        </patternFill>
      </fill>
    </dxf>
    <dxf>
      <fill>
        <patternFill>
          <bgColor theme="6" tint="0.79998168889431442"/>
        </patternFill>
      </fill>
    </dxf>
    <dxf>
      <font>
        <b/>
      </font>
    </dxf>
    <dxf>
      <fill>
        <patternFill>
          <bgColor theme="6" tint="0.79998168889431442"/>
        </patternFill>
      </fill>
    </dxf>
    <dxf>
      <fill>
        <patternFill>
          <bgColor rgb="FFFFFFBA"/>
        </patternFill>
      </fill>
    </dxf>
    <dxf>
      <fill>
        <patternFill>
          <bgColor theme="9" tint="0.39994506668294322"/>
        </patternFill>
      </fill>
    </dxf>
    <dxf>
      <fill>
        <patternFill>
          <bgColor theme="6" tint="0.79998168889431442"/>
        </patternFill>
      </fill>
    </dxf>
    <dxf>
      <fill>
        <patternFill>
          <bgColor rgb="FFFFFFBA"/>
        </patternFill>
      </fill>
    </dxf>
    <dxf>
      <fill>
        <patternFill>
          <bgColor theme="9" tint="0.39994506668294322"/>
        </patternFill>
      </fill>
    </dxf>
    <dxf>
      <fill>
        <patternFill>
          <bgColor theme="9" tint="0.39994506668294322"/>
        </patternFill>
      </fill>
    </dxf>
    <dxf>
      <fill>
        <patternFill>
          <bgColor rgb="FFFFFFBA"/>
        </patternFill>
      </fill>
    </dxf>
    <dxf>
      <fill>
        <patternFill>
          <bgColor theme="6" tint="0.79998168889431442"/>
        </patternFill>
      </fill>
    </dxf>
    <dxf>
      <fill>
        <patternFill>
          <bgColor rgb="FFFFFFBA"/>
        </patternFill>
      </fill>
    </dxf>
    <dxf>
      <fill>
        <patternFill>
          <bgColor theme="6" tint="0.79998168889431442"/>
        </patternFill>
      </fill>
    </dxf>
    <dxf>
      <fill>
        <patternFill>
          <bgColor theme="9" tint="0.39994506668294322"/>
        </patternFill>
      </fill>
    </dxf>
    <dxf>
      <font>
        <b/>
      </font>
    </dxf>
    <dxf>
      <fill>
        <patternFill>
          <bgColor theme="6" tint="0.79998168889431442"/>
        </patternFill>
      </fill>
    </dxf>
    <dxf>
      <fill>
        <patternFill>
          <bgColor rgb="FFFFFFBA"/>
        </patternFill>
      </fill>
    </dxf>
    <dxf>
      <fill>
        <patternFill>
          <bgColor theme="9" tint="0.39994506668294322"/>
        </patternFill>
      </fill>
    </dxf>
    <dxf>
      <fill>
        <patternFill>
          <bgColor rgb="FFFFFFBA"/>
        </patternFill>
      </fill>
    </dxf>
    <dxf>
      <fill>
        <patternFill>
          <bgColor theme="9" tint="0.39994506668294322"/>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ill>
        <patternFill>
          <bgColor rgb="FFFFFFBA"/>
        </patternFill>
      </fill>
    </dxf>
    <dxf>
      <fill>
        <patternFill>
          <bgColor theme="9" tint="0.39994506668294322"/>
        </patternFill>
      </fill>
    </dxf>
    <dxf>
      <fill>
        <patternFill>
          <bgColor theme="6" tint="0.79998168889431442"/>
        </patternFill>
      </fill>
    </dxf>
    <dxf>
      <fill>
        <patternFill>
          <bgColor rgb="FFFFFFBA"/>
        </patternFill>
      </fill>
    </dxf>
    <dxf>
      <fill>
        <patternFill>
          <bgColor theme="9" tint="0.39994506668294322"/>
        </patternFill>
      </fill>
    </dxf>
    <dxf>
      <font>
        <b/>
      </font>
    </dxf>
    <dxf>
      <fill>
        <patternFill>
          <bgColor theme="9" tint="0.39994506668294322"/>
        </patternFill>
      </fill>
    </dxf>
    <dxf>
      <fill>
        <patternFill>
          <bgColor rgb="FFFFFFBA"/>
        </patternFill>
      </fill>
    </dxf>
    <dxf>
      <fill>
        <patternFill>
          <bgColor theme="6" tint="0.79998168889431442"/>
        </patternFill>
      </fill>
    </dxf>
    <dxf>
      <font>
        <b/>
        <i/>
      </font>
      <fill>
        <patternFill patternType="gray125"/>
      </fill>
    </dxf>
    <dxf>
      <font>
        <b/>
        <i/>
      </font>
      <fill>
        <patternFill patternType="gray0625"/>
      </fill>
    </dxf>
    <dxf>
      <fill>
        <patternFill>
          <bgColor theme="6" tint="0.79998168889431442"/>
        </patternFill>
      </fill>
    </dxf>
    <dxf>
      <fill>
        <patternFill>
          <bgColor rgb="FFFFFFBA"/>
        </patternFill>
      </fill>
    </dxf>
    <dxf>
      <fill>
        <patternFill>
          <bgColor theme="9" tint="0.39994506668294322"/>
        </patternFill>
      </fill>
    </dxf>
    <dxf>
      <font>
        <b/>
        <i/>
      </font>
      <fill>
        <patternFill patternType="gray125"/>
      </fill>
    </dxf>
    <dxf>
      <fill>
        <patternFill>
          <bgColor theme="6" tint="0.79998168889431442"/>
        </patternFill>
      </fill>
    </dxf>
    <dxf>
      <fill>
        <patternFill>
          <bgColor rgb="FFFFFFBA"/>
        </patternFill>
      </fill>
    </dxf>
    <dxf>
      <fill>
        <patternFill>
          <bgColor theme="9" tint="0.39994506668294322"/>
        </patternFill>
      </fill>
    </dxf>
    <dxf>
      <font>
        <b/>
      </font>
    </dxf>
    <dxf>
      <fill>
        <patternFill>
          <bgColor rgb="FFFFFFBA"/>
        </patternFill>
      </fill>
    </dxf>
    <dxf>
      <fill>
        <patternFill>
          <bgColor theme="9" tint="0.39994506668294322"/>
        </patternFill>
      </fill>
    </dxf>
    <dxf>
      <fill>
        <patternFill>
          <bgColor theme="6" tint="0.79998168889431442"/>
        </patternFill>
      </fill>
    </dxf>
    <dxf>
      <font>
        <b/>
        <i/>
      </font>
      <fill>
        <patternFill patternType="gray125"/>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ill>
        <patternFill>
          <bgColor rgb="FFFFFFBA"/>
        </patternFill>
      </fill>
    </dxf>
    <dxf>
      <fill>
        <patternFill>
          <bgColor theme="9" tint="0.39994506668294322"/>
        </patternFill>
      </fill>
    </dxf>
    <dxf>
      <font>
        <b/>
      </font>
    </dxf>
    <dxf>
      <fill>
        <patternFill>
          <bgColor rgb="FFFFFFBA"/>
        </patternFill>
      </fill>
    </dxf>
    <dxf>
      <fill>
        <patternFill>
          <bgColor theme="9" tint="0.39994506668294322"/>
        </patternFill>
      </fill>
    </dxf>
    <dxf>
      <font>
        <b/>
      </font>
    </dxf>
    <dxf>
      <fill>
        <patternFill>
          <bgColor theme="6" tint="0.79998168889431442"/>
        </patternFill>
      </fill>
    </dxf>
    <dxf>
      <font>
        <b/>
      </font>
    </dxf>
    <dxf>
      <fill>
        <patternFill>
          <bgColor theme="6" tint="0.79998168889431442"/>
        </patternFill>
      </fill>
    </dxf>
    <dxf>
      <fill>
        <patternFill>
          <bgColor theme="9" tint="0.39994506668294322"/>
        </patternFill>
      </fill>
    </dxf>
    <dxf>
      <fill>
        <patternFill>
          <bgColor rgb="FFFFFFBA"/>
        </patternFill>
      </fill>
    </dxf>
    <dxf>
      <fill>
        <patternFill>
          <bgColor rgb="FFFFFFBA"/>
        </patternFill>
      </fill>
    </dxf>
    <dxf>
      <fill>
        <patternFill>
          <bgColor theme="9" tint="0.39994506668294322"/>
        </patternFill>
      </fill>
    </dxf>
    <dxf>
      <fill>
        <patternFill>
          <bgColor theme="6" tint="0.79998168889431442"/>
        </patternFill>
      </fill>
    </dxf>
    <dxf>
      <fill>
        <patternFill>
          <bgColor theme="6" tint="0.79998168889431442"/>
        </patternFill>
      </fill>
    </dxf>
    <dxf>
      <fill>
        <patternFill>
          <bgColor rgb="FFFFFFBA"/>
        </patternFill>
      </fill>
    </dxf>
    <dxf>
      <fill>
        <patternFill>
          <bgColor theme="9" tint="0.39994506668294322"/>
        </patternFill>
      </fill>
    </dxf>
    <dxf>
      <fill>
        <patternFill>
          <bgColor theme="6" tint="0.79998168889431442"/>
        </patternFill>
      </fill>
    </dxf>
    <dxf>
      <fill>
        <patternFill>
          <bgColor theme="9" tint="0.39994506668294322"/>
        </patternFill>
      </fill>
    </dxf>
    <dxf>
      <fill>
        <patternFill>
          <bgColor rgb="FFFFFFBA"/>
        </patternFill>
      </fill>
    </dxf>
    <dxf>
      <font>
        <b/>
        <i/>
      </font>
      <fill>
        <patternFill patternType="gray125"/>
      </fill>
    </dxf>
    <dxf>
      <font>
        <b/>
      </font>
    </dxf>
    <dxf>
      <fill>
        <patternFill>
          <bgColor theme="9" tint="0.39994506668294322"/>
        </patternFill>
      </fill>
    </dxf>
    <dxf>
      <fill>
        <patternFill>
          <bgColor rgb="FFFFFFBA"/>
        </patternFill>
      </fill>
    </dxf>
    <dxf>
      <fill>
        <patternFill>
          <bgColor theme="6" tint="0.79998168889431442"/>
        </patternFill>
      </fill>
    </dxf>
    <dxf>
      <fill>
        <patternFill>
          <bgColor rgb="FFFFFFBA"/>
        </patternFill>
      </fill>
    </dxf>
    <dxf>
      <fill>
        <patternFill>
          <bgColor theme="6" tint="0.79998168889431442"/>
        </patternFill>
      </fill>
    </dxf>
    <dxf>
      <fill>
        <patternFill>
          <bgColor theme="9" tint="0.39994506668294322"/>
        </patternFill>
      </fill>
    </dxf>
    <dxf>
      <fill>
        <patternFill>
          <bgColor theme="6" tint="0.79998168889431442"/>
        </patternFill>
      </fill>
    </dxf>
    <dxf>
      <font>
        <b/>
        <i/>
      </font>
      <fill>
        <patternFill patternType="gray125"/>
      </fill>
    </dxf>
    <dxf>
      <fill>
        <patternFill>
          <bgColor theme="6" tint="0.79998168889431442"/>
        </patternFill>
      </fill>
    </dxf>
    <dxf>
      <fill>
        <patternFill>
          <bgColor rgb="FFFFFFBA"/>
        </patternFill>
      </fill>
    </dxf>
    <dxf>
      <fill>
        <patternFill>
          <bgColor theme="9" tint="0.39994506668294322"/>
        </patternFill>
      </fill>
    </dxf>
    <dxf>
      <font>
        <b/>
      </font>
    </dxf>
    <dxf>
      <fill>
        <patternFill>
          <bgColor rgb="FFFFFFBA"/>
        </patternFill>
      </fill>
    </dxf>
    <dxf>
      <fill>
        <patternFill>
          <bgColor theme="6" tint="0.79998168889431442"/>
        </patternFill>
      </fill>
    </dxf>
    <dxf>
      <fill>
        <patternFill>
          <bgColor theme="9" tint="0.39994506668294322"/>
        </patternFill>
      </fill>
    </dxf>
    <dxf>
      <font>
        <b/>
        <i/>
      </font>
      <fill>
        <patternFill patternType="gray0625"/>
      </fill>
    </dxf>
    <dxf>
      <font>
        <b/>
        <i/>
      </font>
      <fill>
        <patternFill patternType="gray125"/>
      </fill>
    </dxf>
    <dxf>
      <font>
        <b/>
      </font>
    </dxf>
    <dxf>
      <font>
        <b/>
        <i/>
      </font>
      <fill>
        <patternFill patternType="gray0625"/>
      </fill>
    </dxf>
    <dxf>
      <font>
        <b/>
      </font>
    </dxf>
    <dxf>
      <fill>
        <patternFill>
          <bgColor theme="9" tint="0.39994506668294322"/>
        </patternFill>
      </fill>
    </dxf>
    <dxf>
      <fill>
        <patternFill>
          <bgColor rgb="FFFFFFBA"/>
        </patternFill>
      </fill>
    </dxf>
    <dxf>
      <fill>
        <patternFill>
          <bgColor theme="6" tint="0.79998168889431442"/>
        </patternFill>
      </fill>
    </dxf>
    <dxf>
      <fill>
        <patternFill>
          <bgColor rgb="FFFFFFBA"/>
        </patternFill>
      </fill>
    </dxf>
    <dxf>
      <fill>
        <patternFill>
          <bgColor theme="6" tint="0.79998168889431442"/>
        </patternFill>
      </fill>
    </dxf>
    <dxf>
      <fill>
        <patternFill>
          <bgColor theme="9" tint="0.39994506668294322"/>
        </patternFill>
      </fill>
    </dxf>
    <dxf>
      <font>
        <b/>
      </font>
    </dxf>
    <dxf>
      <fill>
        <patternFill>
          <bgColor theme="9" tint="0.39994506668294322"/>
        </patternFill>
      </fill>
    </dxf>
    <dxf>
      <fill>
        <patternFill>
          <bgColor rgb="FFFFFFBA"/>
        </patternFill>
      </fill>
    </dxf>
    <dxf>
      <fill>
        <patternFill>
          <bgColor theme="6" tint="0.79998168889431442"/>
        </patternFill>
      </fill>
    </dxf>
    <dxf>
      <fill>
        <patternFill>
          <bgColor rgb="FFFFFFBA"/>
        </patternFill>
      </fill>
    </dxf>
    <dxf>
      <fill>
        <patternFill>
          <bgColor theme="9" tint="0.39994506668294322"/>
        </patternFill>
      </fill>
    </dxf>
    <dxf>
      <font>
        <b/>
      </font>
    </dxf>
    <dxf>
      <fill>
        <patternFill>
          <bgColor theme="6" tint="0.79998168889431442"/>
        </patternFill>
      </fill>
    </dxf>
    <dxf>
      <fill>
        <patternFill>
          <bgColor rgb="FFFFFFBA"/>
        </patternFill>
      </fill>
    </dxf>
    <dxf>
      <fill>
        <patternFill>
          <bgColor theme="9" tint="0.39994506668294322"/>
        </patternFill>
      </fill>
    </dxf>
    <dxf>
      <font>
        <b/>
      </font>
    </dxf>
    <dxf>
      <font>
        <b/>
      </font>
    </dxf>
    <dxf>
      <fill>
        <patternFill>
          <bgColor theme="6" tint="0.79998168889431442"/>
        </patternFill>
      </fill>
    </dxf>
    <dxf>
      <fill>
        <patternFill>
          <bgColor rgb="FFFFFFBA"/>
        </patternFill>
      </fill>
    </dxf>
    <dxf>
      <fill>
        <patternFill>
          <bgColor theme="9" tint="0.39994506668294322"/>
        </patternFill>
      </fill>
    </dxf>
    <dxf>
      <fill>
        <patternFill>
          <bgColor theme="9" tint="0.39994506668294322"/>
        </patternFill>
      </fill>
    </dxf>
    <dxf>
      <fill>
        <patternFill>
          <bgColor rgb="FFFFFFBA"/>
        </patternFill>
      </fill>
    </dxf>
    <dxf>
      <fill>
        <patternFill>
          <bgColor theme="6" tint="0.79998168889431442"/>
        </patternFill>
      </fill>
    </dxf>
    <dxf>
      <fill>
        <patternFill>
          <bgColor rgb="FFFFFFBA"/>
        </patternFill>
      </fill>
    </dxf>
    <dxf>
      <fill>
        <patternFill>
          <bgColor theme="6" tint="0.79998168889431442"/>
        </patternFill>
      </fill>
    </dxf>
    <dxf>
      <fill>
        <patternFill>
          <bgColor theme="9" tint="0.3999450666829432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ont>
        <b/>
      </font>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rgb="FFFFFFBA"/>
        </patternFill>
      </fill>
    </dxf>
    <dxf>
      <fill>
        <patternFill>
          <bgColor theme="9" tint="0.39994506668294322"/>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font>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i/>
      </font>
      <fill>
        <patternFill patternType="gray0625"/>
      </fill>
    </dxf>
    <dxf>
      <font>
        <b/>
        <i/>
      </font>
      <fill>
        <patternFill patternType="gray0625"/>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font>
    </dxf>
    <dxf>
      <fill>
        <patternFill>
          <bgColor theme="9" tint="0.39994506668294322"/>
        </patternFill>
      </fill>
    </dxf>
    <dxf>
      <fill>
        <patternFill>
          <bgColor rgb="FFFFFFBA"/>
        </patternFill>
      </fill>
    </dxf>
    <dxf>
      <fill>
        <patternFill>
          <bgColor theme="6" tint="0.79998168889431442"/>
        </patternFill>
      </fill>
    </dxf>
    <dxf>
      <fill>
        <patternFill>
          <bgColor rgb="FFFFFFBA"/>
        </patternFill>
      </fill>
    </dxf>
    <dxf>
      <fill>
        <patternFill>
          <bgColor theme="6" tint="0.79998168889431442"/>
        </patternFill>
      </fill>
    </dxf>
    <dxf>
      <fill>
        <patternFill>
          <bgColor theme="9" tint="0.39994506668294322"/>
        </patternFill>
      </fill>
    </dxf>
    <dxf>
      <fill>
        <patternFill>
          <bgColor theme="6" tint="0.79998168889431442"/>
        </patternFill>
      </fill>
    </dxf>
    <dxf>
      <fill>
        <patternFill>
          <bgColor rgb="FFFFFFBA"/>
        </patternFill>
      </fill>
    </dxf>
    <dxf>
      <fill>
        <patternFill>
          <bgColor theme="9" tint="0.39994506668294322"/>
        </patternFill>
      </fill>
    </dxf>
    <dxf>
      <fill>
        <patternFill>
          <bgColor theme="6" tint="0.79998168889431442"/>
        </patternFill>
      </fill>
    </dxf>
    <dxf>
      <fill>
        <patternFill>
          <bgColor rgb="FFFFFFBA"/>
        </patternFill>
      </fill>
    </dxf>
    <dxf>
      <fill>
        <patternFill>
          <bgColor theme="9" tint="0.39994506668294322"/>
        </patternFill>
      </fill>
    </dxf>
    <dxf>
      <fill>
        <patternFill>
          <bgColor rgb="FFFFFFBA"/>
        </patternFill>
      </fill>
    </dxf>
    <dxf>
      <fill>
        <patternFill>
          <bgColor theme="9" tint="0.39994506668294322"/>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ont>
        <b/>
      </font>
    </dxf>
    <dxf>
      <font>
        <b/>
      </font>
    </dxf>
    <dxf>
      <fill>
        <patternFill>
          <bgColor theme="6" tint="0.79998168889431442"/>
        </patternFill>
      </fill>
    </dxf>
    <dxf>
      <fill>
        <patternFill>
          <bgColor rgb="FFFFFFBA"/>
        </patternFill>
      </fill>
    </dxf>
    <dxf>
      <fill>
        <patternFill>
          <bgColor theme="9" tint="0.39994506668294322"/>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ill>
        <patternFill>
          <bgColor theme="9" tint="0.39994506668294322"/>
        </patternFill>
      </fill>
    </dxf>
    <dxf>
      <fill>
        <patternFill>
          <bgColor rgb="FFFFFFBA"/>
        </patternFill>
      </fill>
    </dxf>
    <dxf>
      <fill>
        <patternFill>
          <bgColor theme="6" tint="0.79998168889431442"/>
        </patternFill>
      </fill>
    </dxf>
    <dxf>
      <font>
        <b/>
      </font>
    </dxf>
    <dxf>
      <fill>
        <patternFill>
          <bgColor theme="9" tint="0.39994506668294322"/>
        </patternFill>
      </fill>
    </dxf>
    <dxf>
      <fill>
        <patternFill>
          <bgColor rgb="FFFFFFBA"/>
        </patternFill>
      </fill>
    </dxf>
    <dxf>
      <fill>
        <patternFill>
          <bgColor theme="9" tint="0.39994506668294322"/>
        </patternFill>
      </fill>
    </dxf>
    <dxf>
      <fill>
        <patternFill>
          <bgColor rgb="FFFFFFBA"/>
        </patternFill>
      </fill>
    </dxf>
    <dxf>
      <fill>
        <patternFill>
          <bgColor theme="6" tint="0.79998168889431442"/>
        </patternFill>
      </fill>
    </dxf>
    <dxf>
      <font>
        <b/>
      </font>
    </dxf>
    <dxf>
      <fill>
        <patternFill>
          <bgColor rgb="FFFFFFBA"/>
        </patternFill>
      </fill>
    </dxf>
    <dxf>
      <fill>
        <patternFill>
          <bgColor theme="9" tint="0.39994506668294322"/>
        </patternFill>
      </fill>
    </dxf>
    <dxf>
      <font>
        <b/>
      </font>
    </dxf>
    <dxf>
      <fill>
        <patternFill>
          <bgColor theme="9" tint="0.39994506668294322"/>
        </patternFill>
      </fill>
    </dxf>
    <dxf>
      <fill>
        <patternFill>
          <bgColor rgb="FFFFFFBA"/>
        </patternFill>
      </fill>
    </dxf>
    <dxf>
      <fill>
        <patternFill>
          <bgColor theme="6" tint="0.79998168889431442"/>
        </patternFill>
      </fill>
    </dxf>
    <dxf>
      <font>
        <b/>
      </font>
    </dxf>
    <dxf>
      <fill>
        <patternFill>
          <bgColor theme="9" tint="0.39994506668294322"/>
        </patternFill>
      </fill>
    </dxf>
    <dxf>
      <fill>
        <patternFill>
          <bgColor rgb="FFFFFFBA"/>
        </patternFill>
      </fill>
    </dxf>
    <dxf>
      <fill>
        <patternFill>
          <bgColor theme="6" tint="0.79998168889431442"/>
        </patternFill>
      </fill>
    </dxf>
    <dxf>
      <fill>
        <patternFill>
          <bgColor theme="6" tint="0.79998168889431442"/>
        </patternFill>
      </fill>
    </dxf>
    <dxf>
      <font>
        <b/>
      </font>
    </dxf>
    <dxf>
      <fill>
        <patternFill>
          <bgColor rgb="FFFFFFBA"/>
        </patternFill>
      </fill>
    </dxf>
    <dxf>
      <fill>
        <patternFill>
          <bgColor theme="6" tint="0.79998168889431442"/>
        </patternFill>
      </fill>
    </dxf>
    <dxf>
      <fill>
        <patternFill>
          <bgColor theme="9" tint="0.39994506668294322"/>
        </patternFill>
      </fill>
    </dxf>
    <dxf>
      <font>
        <b/>
      </font>
    </dxf>
    <dxf>
      <fill>
        <patternFill>
          <bgColor theme="9" tint="0.39994506668294322"/>
        </patternFill>
      </fill>
    </dxf>
    <dxf>
      <fill>
        <patternFill>
          <bgColor theme="6" tint="0.79998168889431442"/>
        </patternFill>
      </fill>
    </dxf>
    <dxf>
      <fill>
        <patternFill>
          <bgColor rgb="FFFFFFBA"/>
        </patternFill>
      </fill>
    </dxf>
    <dxf>
      <fill>
        <patternFill>
          <bgColor theme="6" tint="0.79998168889431442"/>
        </patternFill>
      </fill>
    </dxf>
    <dxf>
      <fill>
        <patternFill>
          <bgColor rgb="FFFFFFBA"/>
        </patternFill>
      </fill>
    </dxf>
    <dxf>
      <fill>
        <patternFill>
          <bgColor theme="9" tint="0.39994506668294322"/>
        </patternFill>
      </fill>
    </dxf>
    <dxf>
      <font>
        <b/>
      </font>
    </dxf>
    <dxf>
      <font>
        <b/>
      </font>
    </dxf>
    <dxf>
      <fill>
        <patternFill>
          <bgColor rgb="FFFFFFBA"/>
        </patternFill>
      </fill>
    </dxf>
    <dxf>
      <fill>
        <patternFill>
          <bgColor theme="9" tint="0.39994506668294322"/>
        </patternFill>
      </fill>
    </dxf>
    <dxf>
      <font>
        <b/>
      </font>
    </dxf>
    <dxf>
      <fill>
        <patternFill>
          <bgColor theme="6" tint="0.79998168889431442"/>
        </patternFill>
      </fill>
    </dxf>
    <dxf>
      <font>
        <b/>
      </font>
    </dxf>
    <dxf>
      <font>
        <b/>
      </font>
    </dxf>
    <dxf>
      <font>
        <b/>
      </font>
    </dxf>
    <dxf>
      <fill>
        <patternFill>
          <bgColor theme="9" tint="0.39994506668294322"/>
        </patternFill>
      </fill>
    </dxf>
    <dxf>
      <fill>
        <patternFill>
          <bgColor rgb="FFFFFFBA"/>
        </patternFill>
      </fill>
    </dxf>
    <dxf>
      <fill>
        <patternFill>
          <bgColor theme="6" tint="0.7999816888943144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Botros N. Hanna" id="{62741EDB-EFA6-C042-AC9D-EB2DB0339E98}" userId="S::Botros.Hanna@inl.gov::cacdd906-c215-4699-8289-fc5a7c63b69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2" dT="2026-03-24T17:58:28.08" personId="{62741EDB-EFA6-C042-AC9D-EB2DB0339E98}" id="{14B9AD5A-4980-0741-8976-E2B49F6BC03E}">
    <text>The year 1978 was estimated: I fit a straight line to ln(factor) vs year using your early data (1985–1995)</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osti.gov/servlets/purl/5084245" TargetMode="External"/><Relationship Id="rId3" Type="http://schemas.openxmlformats.org/officeDocument/2006/relationships/hyperlink" Target="https://doi.org/10.1016/j.rser.2021.111880" TargetMode="External"/><Relationship Id="rId7" Type="http://schemas.openxmlformats.org/officeDocument/2006/relationships/hyperlink" Target="https://doi.org/10.3929/ethz-b-000709311" TargetMode="External"/><Relationship Id="rId12" Type="http://schemas.openxmlformats.org/officeDocument/2006/relationships/hyperlink" Target="https://doi.org/10.3929/ethz-b-000709311" TargetMode="External"/><Relationship Id="rId2" Type="http://schemas.openxmlformats.org/officeDocument/2006/relationships/hyperlink" Target="https://doi.org/10.1016/j.rser.2021.111880" TargetMode="External"/><Relationship Id="rId1" Type="http://schemas.openxmlformats.org/officeDocument/2006/relationships/hyperlink" Target="https://inldigitallibrary.inl.gov/sites/sti/sti/Sort_107010.pdf" TargetMode="External"/><Relationship Id="rId6" Type="http://schemas.openxmlformats.org/officeDocument/2006/relationships/hyperlink" Target="https://www.sciencedirect.com/science/article/pii/S1290072903000218" TargetMode="External"/><Relationship Id="rId11" Type="http://schemas.openxmlformats.org/officeDocument/2006/relationships/hyperlink" Target="https://doi.org/10.1016/j.nucengdes.2023.112470" TargetMode="External"/><Relationship Id="rId5" Type="http://schemas.openxmlformats.org/officeDocument/2006/relationships/hyperlink" Target="https://inldigitallibrary.inl.gov/sites/sti/sti/Sort_129862.pdf" TargetMode="External"/><Relationship Id="rId10" Type="http://schemas.openxmlformats.org/officeDocument/2006/relationships/hyperlink" Target="https://www.osti.gov/biblio/2447366" TargetMode="External"/><Relationship Id="rId4" Type="http://schemas.openxmlformats.org/officeDocument/2006/relationships/hyperlink" Target="https://doi.org/10.1016/j.rser.2021.111880" TargetMode="External"/><Relationship Id="rId9" Type="http://schemas.openxmlformats.org/officeDocument/2006/relationships/hyperlink" Target="https://doi.org/10.1016/j.nucengdes.2023.112470" TargetMode="Externa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81"/>
  <sheetViews>
    <sheetView tabSelected="1" zoomScale="140" zoomScaleNormal="100" workbookViewId="0">
      <pane ySplit="1" topLeftCell="A159" activePane="bottomLeft" state="frozen"/>
      <selection activeCell="C1" sqref="C1"/>
      <selection pane="bottomLeft" activeCell="G163" sqref="G163"/>
    </sheetView>
  </sheetViews>
  <sheetFormatPr baseColWidth="10" defaultColWidth="10.6640625" defaultRowHeight="14" x14ac:dyDescent="0.2"/>
  <cols>
    <col min="1" max="1" width="8.6640625" style="3" customWidth="1"/>
    <col min="2" max="2" width="9.5" style="3" customWidth="1"/>
    <col min="3" max="3" width="29.5" style="3" customWidth="1"/>
    <col min="4" max="4" width="41.6640625" style="4" customWidth="1"/>
    <col min="5" max="5" width="14.33203125" style="4" bestFit="1" customWidth="1"/>
    <col min="6" max="6" width="21.33203125" style="4" customWidth="1"/>
    <col min="7" max="7" width="18.5" style="4" customWidth="1"/>
    <col min="8" max="8" width="9.1640625" style="4" customWidth="1"/>
    <col min="9" max="9" width="17.6640625" style="4" customWidth="1"/>
    <col min="10" max="10" width="12.33203125" style="35" customWidth="1"/>
    <col min="11" max="11" width="10" style="35" bestFit="1" customWidth="1"/>
    <col min="12" max="12" width="10" style="3" customWidth="1"/>
    <col min="13" max="13" width="15.6640625" style="3" customWidth="1"/>
    <col min="14" max="14" width="8.6640625" style="3" customWidth="1"/>
    <col min="15" max="15" width="7.33203125" style="3" customWidth="1"/>
    <col min="16" max="16" width="7.6640625" style="3" customWidth="1"/>
    <col min="17" max="17" width="8.1640625" style="3" customWidth="1"/>
    <col min="18" max="18" width="10.6640625" style="3" customWidth="1"/>
    <col min="19" max="19" width="29" style="3" customWidth="1"/>
    <col min="20" max="20" width="37.1640625" style="3" customWidth="1"/>
    <col min="21" max="21" width="81.1640625" style="3" customWidth="1"/>
    <col min="22" max="22" width="18.6640625" style="3" customWidth="1"/>
    <col min="23" max="23" width="28.1640625" style="3" customWidth="1"/>
    <col min="24" max="25" width="16.6640625" style="35" customWidth="1"/>
    <col min="26" max="26" width="12.5" style="3" bestFit="1" customWidth="1"/>
    <col min="27" max="28" width="16.6640625" style="35" customWidth="1"/>
    <col min="29" max="29" width="12.5" style="3" customWidth="1"/>
    <col min="30" max="32" width="6.6640625" style="35" customWidth="1"/>
    <col min="33" max="33" width="15.33203125" style="3" bestFit="1" customWidth="1"/>
    <col min="34" max="34" width="10.6640625" style="3" customWidth="1"/>
    <col min="35" max="16384" width="10.6640625" style="3"/>
  </cols>
  <sheetData>
    <row r="1" spans="1:33" s="82" customFormat="1" ht="53" customHeight="1" x14ac:dyDescent="0.2">
      <c r="A1" s="50" t="s">
        <v>0</v>
      </c>
      <c r="B1" s="41" t="s">
        <v>1</v>
      </c>
      <c r="C1" s="50" t="s">
        <v>2</v>
      </c>
      <c r="D1" s="41" t="s">
        <v>3</v>
      </c>
      <c r="E1" s="41" t="s">
        <v>4</v>
      </c>
      <c r="F1" s="41" t="s">
        <v>5</v>
      </c>
      <c r="G1" s="41" t="s">
        <v>6</v>
      </c>
      <c r="H1" s="41" t="s">
        <v>7</v>
      </c>
      <c r="I1" s="41" t="s">
        <v>8</v>
      </c>
      <c r="J1" s="50" t="s">
        <v>9</v>
      </c>
      <c r="K1" s="50" t="s">
        <v>10</v>
      </c>
      <c r="L1" s="50" t="s">
        <v>11</v>
      </c>
      <c r="M1" s="37" t="s">
        <v>12</v>
      </c>
      <c r="N1" s="50" t="s">
        <v>13</v>
      </c>
      <c r="O1" s="50" t="s">
        <v>14</v>
      </c>
      <c r="P1" s="50" t="s">
        <v>15</v>
      </c>
      <c r="Q1" s="50" t="s">
        <v>16</v>
      </c>
      <c r="R1" s="50" t="s">
        <v>17</v>
      </c>
      <c r="S1" s="50" t="s">
        <v>18</v>
      </c>
      <c r="T1" s="50" t="s">
        <v>19</v>
      </c>
      <c r="U1" s="50" t="s">
        <v>20</v>
      </c>
      <c r="V1" s="50" t="s">
        <v>21</v>
      </c>
      <c r="W1" s="81" t="s">
        <v>22</v>
      </c>
      <c r="X1" s="81" t="s">
        <v>23</v>
      </c>
      <c r="Y1" s="81" t="s">
        <v>24</v>
      </c>
      <c r="Z1" s="81" t="s">
        <v>25</v>
      </c>
      <c r="AA1" s="81" t="s">
        <v>26</v>
      </c>
      <c r="AB1" s="81" t="s">
        <v>27</v>
      </c>
      <c r="AC1" s="81" t="s">
        <v>28</v>
      </c>
      <c r="AD1" s="81" t="s">
        <v>29</v>
      </c>
      <c r="AE1" s="81" t="s">
        <v>30</v>
      </c>
      <c r="AF1" s="81" t="s">
        <v>31</v>
      </c>
      <c r="AG1" s="81" t="s">
        <v>32</v>
      </c>
    </row>
    <row r="2" spans="1:33" s="7" customFormat="1" ht="15" customHeight="1" x14ac:dyDescent="0.2">
      <c r="A2" s="37">
        <v>10</v>
      </c>
      <c r="B2" s="38">
        <f>IF(ISNUMBER(A2),
    IF(AND(A2=INT(A2), MOD(A2, 10) = 0), 0,
        IF(AND(A2=INT(A2), LEN(A2)=2), 1,
            IF(AND(A2=INT(A2), LEN(A2)=3), 2,
                LEN(A2) - FIND(".", A2) + 2)
        )
    ),
"")</f>
        <v>0</v>
      </c>
      <c r="C2" s="39" t="s">
        <v>33</v>
      </c>
      <c r="D2" s="39" t="str">
        <f t="shared" ref="D2:D33" si="0">REPT("   ", B2*2) &amp; C2</f>
        <v>Capitalized Pre-Construction Costs</v>
      </c>
      <c r="E2" s="39"/>
      <c r="F2" s="39"/>
      <c r="G2" s="39"/>
      <c r="H2" s="39"/>
      <c r="I2" s="39"/>
      <c r="J2" s="40"/>
      <c r="K2" s="40"/>
      <c r="L2" s="38"/>
      <c r="M2" s="38"/>
      <c r="N2" s="38"/>
      <c r="O2" s="38"/>
      <c r="P2" s="38"/>
      <c r="Q2" s="40"/>
      <c r="R2" s="38"/>
      <c r="S2" s="41"/>
      <c r="T2" s="38"/>
      <c r="U2" s="38"/>
      <c r="V2" s="38"/>
      <c r="W2" s="77"/>
      <c r="X2" s="79"/>
      <c r="Y2" s="79"/>
      <c r="Z2" s="77"/>
      <c r="AA2" s="79"/>
      <c r="AB2" s="79"/>
      <c r="AC2" s="77"/>
      <c r="AD2" s="79"/>
      <c r="AE2" s="79"/>
      <c r="AF2" s="79"/>
      <c r="AG2" s="77"/>
    </row>
    <row r="3" spans="1:33" ht="25.25" customHeight="1" x14ac:dyDescent="0.2">
      <c r="A3" s="37">
        <v>11</v>
      </c>
      <c r="B3" s="38">
        <f>IF(ISNUMBER(A3),
    IF(AND(A3=INT(A3), MOD(A3, 10) = 0), 0,
        IF(AND(A3=INT(A3), LEN(A3)=2), 1,
            IF(AND(A3=INT(A3), LEN(A3)=3), 2,
                LEN(A3) - FIND(".", A3) + 2)
        )
    ),
"")</f>
        <v>1</v>
      </c>
      <c r="C3" s="42" t="s">
        <v>34</v>
      </c>
      <c r="D3" s="39" t="str">
        <f t="shared" si="0"/>
        <v xml:space="preserve">      Land Cost</v>
      </c>
      <c r="E3" s="39" t="s">
        <v>35</v>
      </c>
      <c r="F3" s="39"/>
      <c r="G3" s="39"/>
      <c r="H3" s="39"/>
      <c r="I3" s="39"/>
      <c r="J3" s="43"/>
      <c r="K3" s="44">
        <v>3800</v>
      </c>
      <c r="L3" s="45" t="s">
        <v>36</v>
      </c>
      <c r="M3" s="45" t="s">
        <v>37</v>
      </c>
      <c r="N3" s="46"/>
      <c r="O3" s="45" t="s">
        <v>38</v>
      </c>
      <c r="P3" s="45"/>
      <c r="Q3" s="66">
        <v>2022</v>
      </c>
      <c r="R3" s="45" t="s">
        <v>39</v>
      </c>
      <c r="S3" s="47" t="s">
        <v>40</v>
      </c>
      <c r="T3" s="141" t="s">
        <v>41</v>
      </c>
      <c r="U3" s="148" t="s">
        <v>42</v>
      </c>
      <c r="V3" s="49"/>
      <c r="W3" s="77" t="s">
        <v>43</v>
      </c>
      <c r="X3" s="80">
        <f>0.9*$J3</f>
        <v>0</v>
      </c>
      <c r="Y3" s="80">
        <f>1.5*J3</f>
        <v>0</v>
      </c>
      <c r="Z3" s="77" t="s">
        <v>44</v>
      </c>
      <c r="AA3" s="79">
        <f>0.9*K3</f>
        <v>3420</v>
      </c>
      <c r="AB3" s="79">
        <f>1.3*K3</f>
        <v>4940</v>
      </c>
      <c r="AC3" s="77" t="s">
        <v>44</v>
      </c>
      <c r="AD3" s="79" t="s">
        <v>45</v>
      </c>
      <c r="AE3" s="79" t="s">
        <v>46</v>
      </c>
      <c r="AF3" s="79" t="s">
        <v>47</v>
      </c>
      <c r="AG3" s="77" t="s">
        <v>48</v>
      </c>
    </row>
    <row r="4" spans="1:33" ht="15" customHeight="1" x14ac:dyDescent="0.2">
      <c r="A4" s="37">
        <v>12</v>
      </c>
      <c r="B4" s="38">
        <f>IF(ISNUMBER(A4),
IF(AND(A4=INT(A4), MOD(A4, 10) = 0), 0,
IF(AND(A4=INT(A4), LEN(A4)=2), 1,
IF(AND(A4=INT(A4), LEN(A4)=3), 2,
LEN(A4) - FIND(".", A4) + 2)
)
),
"")</f>
        <v>1</v>
      </c>
      <c r="C4" s="42" t="s">
        <v>49</v>
      </c>
      <c r="D4" s="39" t="str">
        <f t="shared" si="0"/>
        <v xml:space="preserve">      Site Permits</v>
      </c>
      <c r="E4" s="39" t="s">
        <v>35</v>
      </c>
      <c r="F4" s="39"/>
      <c r="G4" s="39"/>
      <c r="H4" s="39"/>
      <c r="I4" s="39"/>
      <c r="J4" s="43"/>
      <c r="K4" s="44">
        <f>10.03*1000</f>
        <v>10030</v>
      </c>
      <c r="L4" s="45" t="s">
        <v>50</v>
      </c>
      <c r="M4" s="45" t="s">
        <v>51</v>
      </c>
      <c r="N4" s="46"/>
      <c r="O4" s="45" t="s">
        <v>52</v>
      </c>
      <c r="P4" s="45"/>
      <c r="Q4" s="66">
        <v>2022</v>
      </c>
      <c r="R4" s="45" t="s">
        <v>53</v>
      </c>
      <c r="S4" s="47" t="s">
        <v>54</v>
      </c>
      <c r="T4" s="143"/>
      <c r="U4" s="143"/>
      <c r="V4" s="49"/>
      <c r="W4" s="77" t="s">
        <v>43</v>
      </c>
      <c r="X4" s="80">
        <f>0.9*$J4</f>
        <v>0</v>
      </c>
      <c r="Y4" s="80">
        <f>1.5*J4</f>
        <v>0</v>
      </c>
      <c r="Z4" s="77" t="s">
        <v>44</v>
      </c>
      <c r="AA4" s="79">
        <f>0.9*K4</f>
        <v>9027</v>
      </c>
      <c r="AB4" s="79">
        <f>1.3*K4</f>
        <v>13039</v>
      </c>
      <c r="AC4" s="77" t="s">
        <v>44</v>
      </c>
      <c r="AD4" s="79" t="s">
        <v>45</v>
      </c>
      <c r="AE4" s="79" t="s">
        <v>46</v>
      </c>
      <c r="AF4" s="79" t="s">
        <v>47</v>
      </c>
      <c r="AG4" s="77" t="s">
        <v>48</v>
      </c>
    </row>
    <row r="5" spans="1:33" ht="64" customHeight="1" x14ac:dyDescent="0.2">
      <c r="A5" s="37">
        <v>13</v>
      </c>
      <c r="B5" s="38">
        <f>IF(ISNUMBER(A5),
IF(AND(A5=INT(A5), MOD(A5, 10) = 0), 0,
IF(AND(A5=INT(A5), LEN(A5)=2), 1,
IF(AND(A5=INT(A5), LEN(A5)=3), 2,
LEN(A5) - FIND(".", A5) + 2)
)
),
"")</f>
        <v>1</v>
      </c>
      <c r="C5" s="42" t="s">
        <v>55</v>
      </c>
      <c r="D5" s="39" t="str">
        <f t="shared" si="0"/>
        <v xml:space="preserve">      Plant Licensing</v>
      </c>
      <c r="E5" s="39" t="s">
        <v>35</v>
      </c>
      <c r="F5" s="39"/>
      <c r="G5" s="39"/>
      <c r="H5" s="39"/>
      <c r="I5" s="39"/>
      <c r="J5" s="43">
        <f>0.5*(X5+Y5)</f>
        <v>27025000</v>
      </c>
      <c r="K5" s="44"/>
      <c r="L5" s="46"/>
      <c r="M5" s="46"/>
      <c r="N5" s="46"/>
      <c r="O5" s="45"/>
      <c r="P5" s="45"/>
      <c r="Q5" s="66">
        <v>2024</v>
      </c>
      <c r="R5" s="45" t="s">
        <v>53</v>
      </c>
      <c r="S5" s="47" t="s">
        <v>56</v>
      </c>
      <c r="T5" s="86" t="s">
        <v>57</v>
      </c>
      <c r="U5" s="148" t="s">
        <v>58</v>
      </c>
      <c r="V5" s="49"/>
      <c r="W5" s="77" t="s">
        <v>59</v>
      </c>
      <c r="X5" s="80">
        <f>0.47*45*1000000</f>
        <v>21150000</v>
      </c>
      <c r="Y5" s="80">
        <f>0.47*70*1000000</f>
        <v>32900000</v>
      </c>
      <c r="Z5" s="77" t="s">
        <v>60</v>
      </c>
      <c r="AA5" s="79">
        <f>0.9*K5</f>
        <v>0</v>
      </c>
      <c r="AB5" s="79">
        <f>1.3*K5</f>
        <v>0</v>
      </c>
      <c r="AC5" s="77" t="s">
        <v>44</v>
      </c>
      <c r="AD5" s="79" t="s">
        <v>45</v>
      </c>
      <c r="AE5" s="79" t="s">
        <v>46</v>
      </c>
      <c r="AF5" s="79" t="s">
        <v>47</v>
      </c>
      <c r="AG5" s="77" t="s">
        <v>48</v>
      </c>
    </row>
    <row r="6" spans="1:33" ht="15" customHeight="1" x14ac:dyDescent="0.2">
      <c r="A6" s="37">
        <v>14</v>
      </c>
      <c r="B6" s="38">
        <f>IF(ISNUMBER(A6),
IF(AND(A6=INT(A6), MOD(A6, 10) = 0), 0,
IF(AND(A6=INT(A6), LEN(A6)=2), 1,
IF(AND(A6=INT(A6), LEN(A6)=3), 2,
LEN(A6) - FIND(".", A6) + 2)
)
),
"")</f>
        <v>1</v>
      </c>
      <c r="C6" s="42" t="s">
        <v>61</v>
      </c>
      <c r="D6" s="39" t="str">
        <f t="shared" si="0"/>
        <v xml:space="preserve">      Plant Permits</v>
      </c>
      <c r="E6" s="39" t="s">
        <v>35</v>
      </c>
      <c r="F6" s="39"/>
      <c r="G6" s="39"/>
      <c r="H6" s="39"/>
      <c r="I6" s="39"/>
      <c r="J6" s="43">
        <v>3000000</v>
      </c>
      <c r="K6" s="44"/>
      <c r="L6" s="46"/>
      <c r="M6" s="46"/>
      <c r="N6" s="46"/>
      <c r="O6" s="45"/>
      <c r="P6" s="45"/>
      <c r="Q6" s="66">
        <v>2009</v>
      </c>
      <c r="R6" s="45" t="s">
        <v>53</v>
      </c>
      <c r="S6" s="47" t="s">
        <v>62</v>
      </c>
      <c r="T6" s="59" t="s">
        <v>63</v>
      </c>
      <c r="U6" s="143"/>
      <c r="V6" s="49"/>
      <c r="W6" s="77" t="s">
        <v>43</v>
      </c>
      <c r="X6" s="80">
        <f>0.9*$J6</f>
        <v>2700000</v>
      </c>
      <c r="Y6" s="80">
        <f>1.5*J6</f>
        <v>4500000</v>
      </c>
      <c r="Z6" s="77" t="s">
        <v>44</v>
      </c>
      <c r="AA6" s="79">
        <f>0.9*K6</f>
        <v>0</v>
      </c>
      <c r="AB6" s="79">
        <f>1.3*K6</f>
        <v>0</v>
      </c>
      <c r="AC6" s="77" t="s">
        <v>44</v>
      </c>
      <c r="AD6" s="79" t="s">
        <v>45</v>
      </c>
      <c r="AE6" s="79" t="s">
        <v>46</v>
      </c>
      <c r="AF6" s="79" t="s">
        <v>47</v>
      </c>
      <c r="AG6" s="77" t="s">
        <v>48</v>
      </c>
    </row>
    <row r="7" spans="1:33" ht="24" customHeight="1" x14ac:dyDescent="0.2">
      <c r="A7" s="37">
        <v>15</v>
      </c>
      <c r="B7" s="38">
        <f>IF(ISNUMBER(A7),
IF(AND(A7=INT(A7), MOD(A7, 10) = 0), 0,
IF(AND(A7=INT(A7), LEN(A7)=2), 1,
IF(AND(A7=INT(A7), LEN(A7)=3), 2,
LEN(A7) - FIND(".", A7) + 2)
)
),
"")</f>
        <v>1</v>
      </c>
      <c r="C7" s="42" t="s">
        <v>64</v>
      </c>
      <c r="D7" s="39" t="str">
        <f t="shared" si="0"/>
        <v xml:space="preserve">      Plant Studies</v>
      </c>
      <c r="E7" s="39" t="s">
        <v>35</v>
      </c>
      <c r="F7" s="39"/>
      <c r="G7" s="39"/>
      <c r="H7" s="39"/>
      <c r="I7" s="39"/>
      <c r="J7" s="43">
        <f>MARVEL_Cost!C4</f>
        <v>5210451</v>
      </c>
      <c r="K7" s="44"/>
      <c r="L7" s="46"/>
      <c r="M7" s="46"/>
      <c r="N7" s="46"/>
      <c r="O7" s="45"/>
      <c r="P7" s="45"/>
      <c r="Q7" s="66">
        <v>2024</v>
      </c>
      <c r="R7" s="45" t="s">
        <v>53</v>
      </c>
      <c r="S7" s="47" t="s">
        <v>65</v>
      </c>
      <c r="T7" s="47" t="s">
        <v>66</v>
      </c>
      <c r="U7" s="49" t="s">
        <v>67</v>
      </c>
      <c r="V7" s="45" t="s">
        <v>68</v>
      </c>
      <c r="W7" s="77" t="s">
        <v>43</v>
      </c>
      <c r="X7" s="80">
        <f>0.9*$J7</f>
        <v>4689405.9000000004</v>
      </c>
      <c r="Y7" s="80">
        <f>1.5*J7</f>
        <v>7815676.5</v>
      </c>
      <c r="Z7" s="77" t="s">
        <v>44</v>
      </c>
      <c r="AA7" s="79">
        <f>0.9*K7</f>
        <v>0</v>
      </c>
      <c r="AB7" s="79">
        <f>1.3*K7</f>
        <v>0</v>
      </c>
      <c r="AC7" s="77" t="s">
        <v>44</v>
      </c>
      <c r="AD7" s="79" t="s">
        <v>45</v>
      </c>
      <c r="AE7" s="79" t="s">
        <v>46</v>
      </c>
      <c r="AF7" s="79" t="s">
        <v>47</v>
      </c>
      <c r="AG7" s="77" t="s">
        <v>48</v>
      </c>
    </row>
    <row r="8" spans="1:33" ht="15" customHeight="1" x14ac:dyDescent="0.2">
      <c r="A8" s="50">
        <v>20</v>
      </c>
      <c r="B8" s="38">
        <f>IF(ISNUMBER(A8),
    IF(AND(A8=INT(A8), MOD(A8, 10) = 0), 0,
        IF(AND(A8=INT(A8), LEN(A8)=2), 1,
            IF(AND(A8=INT(A8), LEN(A8)=3), 2,
                LEN(A8) - FIND(".", A8) + 2)
        )
    ),
"")</f>
        <v>0</v>
      </c>
      <c r="C8" s="42" t="s">
        <v>69</v>
      </c>
      <c r="D8" s="39" t="str">
        <f t="shared" si="0"/>
        <v>Capitalized Direct Costs</v>
      </c>
      <c r="E8" s="39"/>
      <c r="F8" s="39"/>
      <c r="G8" s="39"/>
      <c r="H8" s="39"/>
      <c r="I8" s="39"/>
      <c r="J8" s="43"/>
      <c r="K8" s="51"/>
      <c r="L8" s="50"/>
      <c r="M8" s="37"/>
      <c r="N8" s="50"/>
      <c r="O8" s="50"/>
      <c r="P8" s="50"/>
      <c r="Q8" s="68"/>
      <c r="R8" s="50"/>
      <c r="S8" s="50"/>
      <c r="T8" s="50"/>
      <c r="U8" s="50"/>
      <c r="V8" s="50"/>
      <c r="W8" s="77"/>
      <c r="X8" s="80"/>
      <c r="Y8" s="80"/>
      <c r="Z8" s="77"/>
      <c r="AA8" s="79"/>
      <c r="AB8" s="79"/>
      <c r="AC8" s="77"/>
      <c r="AD8" s="79"/>
      <c r="AE8" s="79"/>
      <c r="AF8" s="79"/>
      <c r="AG8" s="77"/>
    </row>
    <row r="9" spans="1:33" ht="15" customHeight="1" x14ac:dyDescent="0.2">
      <c r="A9" s="37">
        <v>21</v>
      </c>
      <c r="B9" s="38">
        <f>IF(ISNUMBER(A9),
IF(AND(A9=INT(A9), MOD(A9, 10) = 0), 0,
IF(AND(A9=INT(A9), LEN(A9)=2), 1,
IF(AND(A9=INT(A9), LEN(A9)=3), 2,
LEN(A9) - FIND(".", A9) + 2)
)
),
"")</f>
        <v>1</v>
      </c>
      <c r="C9" s="42" t="s">
        <v>70</v>
      </c>
      <c r="D9" s="39" t="str">
        <f t="shared" si="0"/>
        <v xml:space="preserve">      Structures and Improvements</v>
      </c>
      <c r="E9" s="39"/>
      <c r="F9" s="39"/>
      <c r="G9" s="39"/>
      <c r="H9" s="39"/>
      <c r="I9" s="39"/>
      <c r="J9" s="43"/>
      <c r="K9" s="44"/>
      <c r="L9" s="46"/>
      <c r="M9" s="46"/>
      <c r="N9" s="46"/>
      <c r="O9" s="46"/>
      <c r="P9" s="46"/>
      <c r="Q9" s="43"/>
      <c r="R9" s="46"/>
      <c r="S9" s="52"/>
      <c r="T9" s="46"/>
      <c r="U9" s="46"/>
      <c r="V9" s="49"/>
      <c r="W9" s="77"/>
      <c r="X9" s="80"/>
      <c r="Y9" s="80"/>
      <c r="Z9" s="77"/>
      <c r="AA9" s="79"/>
      <c r="AB9" s="79"/>
      <c r="AC9" s="77"/>
      <c r="AD9" s="79"/>
      <c r="AE9" s="79"/>
      <c r="AF9" s="79"/>
      <c r="AG9" s="77"/>
    </row>
    <row r="10" spans="1:33" ht="15" customHeight="1" x14ac:dyDescent="0.2">
      <c r="A10" s="53">
        <v>211</v>
      </c>
      <c r="B10" s="38">
        <f>IF(ISNUMBER(A10),
IF(AND(A10=INT(A10), MOD(A10, 10) = 0), 0,
IF(AND(A10=INT(A10), LEN(A10)=2), 1,
IF(AND(A10=INT(A10), LEN(A10)=3), 2,
LEN(A10) - FIND(".", A10) + 2)
)
),
"")</f>
        <v>2</v>
      </c>
      <c r="C10" s="42" t="s">
        <v>71</v>
      </c>
      <c r="D10" s="39" t="str">
        <f t="shared" si="0"/>
        <v xml:space="preserve">            Site Preparation/ Yard Work</v>
      </c>
      <c r="E10" s="39"/>
      <c r="F10" s="39"/>
      <c r="G10" s="39"/>
      <c r="H10" s="39"/>
      <c r="I10" s="39"/>
      <c r="J10" s="43"/>
      <c r="K10" s="44"/>
      <c r="L10" s="46"/>
      <c r="M10" s="46"/>
      <c r="N10" s="46"/>
      <c r="O10" s="46"/>
      <c r="P10" s="46"/>
      <c r="Q10" s="43"/>
      <c r="R10" s="46"/>
      <c r="S10" s="52"/>
      <c r="T10" s="46"/>
      <c r="U10" s="46"/>
      <c r="V10" s="49"/>
      <c r="W10" s="77"/>
      <c r="X10" s="80"/>
      <c r="Y10" s="80"/>
      <c r="Z10" s="77"/>
      <c r="AA10" s="79"/>
      <c r="AB10" s="79"/>
      <c r="AC10" s="77"/>
      <c r="AD10" s="79"/>
      <c r="AE10" s="79"/>
      <c r="AF10" s="79"/>
      <c r="AG10" s="77"/>
    </row>
    <row r="11" spans="1:33" ht="15" customHeight="1" x14ac:dyDescent="0.2">
      <c r="A11" s="54">
        <v>211.1</v>
      </c>
      <c r="B11" s="38">
        <f>IF(ISNUMBER(A11),
IF(AND(A11=INT(A11), MOD(A11, 10) = 0), 0,
IF(AND(A11=INT(A11), LEN(A11)=2), 1,
IF(AND(A11=INT(A11), LEN(A11)=3), 2,
LEN(A11) - FIND(".", A11) + 2)
)
),
"")</f>
        <v>3</v>
      </c>
      <c r="C11" s="42" t="s">
        <v>72</v>
      </c>
      <c r="D11" s="39" t="str">
        <f t="shared" si="0"/>
        <v xml:space="preserve">                  Cleaning and Grubbing</v>
      </c>
      <c r="E11" s="39" t="s">
        <v>35</v>
      </c>
      <c r="F11" s="39"/>
      <c r="G11" s="39"/>
      <c r="H11" s="39"/>
      <c r="I11" s="39"/>
      <c r="J11" s="43"/>
      <c r="K11" s="44">
        <f>4408.18*1.33</f>
        <v>5862.8794000000007</v>
      </c>
      <c r="L11" s="45" t="s">
        <v>36</v>
      </c>
      <c r="M11" s="45" t="s">
        <v>37</v>
      </c>
      <c r="N11" s="46"/>
      <c r="O11" s="45" t="s">
        <v>38</v>
      </c>
      <c r="P11" s="46"/>
      <c r="Q11" s="66">
        <v>2024</v>
      </c>
      <c r="R11" s="55" t="s">
        <v>73</v>
      </c>
      <c r="S11" s="141" t="s">
        <v>74</v>
      </c>
      <c r="T11" s="141" t="s">
        <v>75</v>
      </c>
      <c r="U11" s="146" t="s">
        <v>76</v>
      </c>
      <c r="V11" s="49"/>
      <c r="W11" s="77" t="s">
        <v>77</v>
      </c>
      <c r="X11" s="80">
        <f>0.9*$J11</f>
        <v>0</v>
      </c>
      <c r="Y11" s="80">
        <f>1.5*J11</f>
        <v>0</v>
      </c>
      <c r="Z11" s="77" t="s">
        <v>44</v>
      </c>
      <c r="AA11" s="79">
        <f>0.9*K11</f>
        <v>5276.5914600000006</v>
      </c>
      <c r="AB11" s="79">
        <f>1.3*K11</f>
        <v>7621.7432200000012</v>
      </c>
      <c r="AC11" s="77" t="s">
        <v>44</v>
      </c>
      <c r="AD11" s="79" t="s">
        <v>45</v>
      </c>
      <c r="AE11" s="79" t="s">
        <v>46</v>
      </c>
      <c r="AF11" s="79" t="s">
        <v>47</v>
      </c>
      <c r="AG11" s="77" t="s">
        <v>48</v>
      </c>
    </row>
    <row r="12" spans="1:33" ht="15" customHeight="1" x14ac:dyDescent="0.2">
      <c r="A12" s="53">
        <v>211.2</v>
      </c>
      <c r="B12" s="38">
        <f>IF(ISNUMBER(A12),
    IF(AND(A12=INT(A12), MOD(A12, 10) = 0), 0,
        IF(AND(A12=INT(A12), LEN(A12)=2), 1,
            IF(AND(A12=INT(A12), LEN(A12)=3), 2,
                LEN(A12) - FIND(".", A12) + 2)
        )
    ),
"")</f>
        <v>3</v>
      </c>
      <c r="C12" s="42" t="s">
        <v>78</v>
      </c>
      <c r="D12" s="39" t="str">
        <f t="shared" si="0"/>
        <v xml:space="preserve">                  Stripping Topsoil</v>
      </c>
      <c r="E12" s="39" t="s">
        <v>35</v>
      </c>
      <c r="F12" s="39"/>
      <c r="G12" s="39"/>
      <c r="H12" s="39"/>
      <c r="I12" s="39"/>
      <c r="J12" s="43"/>
      <c r="K12" s="44">
        <f>2565.2*1.33</f>
        <v>3411.7159999999999</v>
      </c>
      <c r="L12" s="45" t="s">
        <v>36</v>
      </c>
      <c r="M12" s="45" t="s">
        <v>37</v>
      </c>
      <c r="N12" s="46"/>
      <c r="O12" s="45" t="s">
        <v>38</v>
      </c>
      <c r="P12" s="46"/>
      <c r="Q12" s="66">
        <v>2024</v>
      </c>
      <c r="R12" s="55" t="s">
        <v>73</v>
      </c>
      <c r="S12" s="142"/>
      <c r="T12" s="142"/>
      <c r="U12" s="142"/>
      <c r="V12" s="49"/>
      <c r="W12" s="77" t="s">
        <v>77</v>
      </c>
      <c r="X12" s="80">
        <f>0.9*$J12</f>
        <v>0</v>
      </c>
      <c r="Y12" s="80">
        <f>1.5*J12</f>
        <v>0</v>
      </c>
      <c r="Z12" s="77" t="s">
        <v>44</v>
      </c>
      <c r="AA12" s="79">
        <f>0.9*K12</f>
        <v>3070.5443999999998</v>
      </c>
      <c r="AB12" s="79">
        <f>1.3*K12</f>
        <v>4435.2308000000003</v>
      </c>
      <c r="AC12" s="77" t="s">
        <v>44</v>
      </c>
      <c r="AD12" s="79" t="s">
        <v>45</v>
      </c>
      <c r="AE12" s="79" t="s">
        <v>46</v>
      </c>
      <c r="AF12" s="79" t="s">
        <v>47</v>
      </c>
      <c r="AG12" s="77" t="s">
        <v>48</v>
      </c>
    </row>
    <row r="13" spans="1:33" ht="83" customHeight="1" x14ac:dyDescent="0.2">
      <c r="A13" s="53">
        <v>211.3</v>
      </c>
      <c r="B13" s="38">
        <f t="shared" ref="B13:B44" si="1">IF(ISNUMBER(A13),
IF(AND(A13=INT(A13), MOD(A13, 10) = 0), 0,
IF(AND(A13=INT(A13), LEN(A13)=2), 1,
IF(AND(A13=INT(A13), LEN(A13)=3), 2,
LEN(A13) - FIND(".", A13) + 2)
)
),
"")</f>
        <v>3</v>
      </c>
      <c r="C13" s="42" t="s">
        <v>79</v>
      </c>
      <c r="D13" s="39" t="str">
        <f t="shared" si="0"/>
        <v xml:space="preserve">                  Excavation</v>
      </c>
      <c r="E13" s="39" t="s">
        <v>35</v>
      </c>
      <c r="F13" s="39"/>
      <c r="G13" s="39"/>
      <c r="H13" s="39"/>
      <c r="I13" s="39"/>
      <c r="J13" s="43"/>
      <c r="K13" s="44">
        <f>22.86*1.4</f>
        <v>32.003999999999998</v>
      </c>
      <c r="L13" s="45" t="s">
        <v>80</v>
      </c>
      <c r="M13" s="45" t="s">
        <v>81</v>
      </c>
      <c r="N13" s="46"/>
      <c r="O13" s="45" t="s">
        <v>82</v>
      </c>
      <c r="P13" s="46"/>
      <c r="Q13" s="66">
        <v>2024</v>
      </c>
      <c r="R13" s="55" t="s">
        <v>73</v>
      </c>
      <c r="S13" s="143"/>
      <c r="T13" s="143"/>
      <c r="U13" s="143"/>
      <c r="V13" s="49"/>
      <c r="W13" s="77" t="s">
        <v>77</v>
      </c>
      <c r="X13" s="80">
        <f>0.9*$J13</f>
        <v>0</v>
      </c>
      <c r="Y13" s="80">
        <f>1.5*J13</f>
        <v>0</v>
      </c>
      <c r="Z13" s="77" t="s">
        <v>44</v>
      </c>
      <c r="AA13" s="79">
        <f>0.9*K13</f>
        <v>28.803599999999999</v>
      </c>
      <c r="AB13" s="79">
        <f>1.3*K13</f>
        <v>41.605199999999996</v>
      </c>
      <c r="AC13" s="77" t="s">
        <v>44</v>
      </c>
      <c r="AD13" s="79" t="s">
        <v>45</v>
      </c>
      <c r="AE13" s="79" t="s">
        <v>46</v>
      </c>
      <c r="AF13" s="79" t="s">
        <v>47</v>
      </c>
      <c r="AG13" s="77" t="s">
        <v>48</v>
      </c>
    </row>
    <row r="14" spans="1:33" ht="15" customHeight="1" x14ac:dyDescent="0.2">
      <c r="A14" s="53">
        <v>212</v>
      </c>
      <c r="B14" s="38">
        <f t="shared" si="1"/>
        <v>2</v>
      </c>
      <c r="C14" s="42" t="s">
        <v>83</v>
      </c>
      <c r="D14" s="39" t="str">
        <f t="shared" si="0"/>
        <v xml:space="preserve">            Reactor Island Civil Structures</v>
      </c>
      <c r="E14" s="39"/>
      <c r="F14" s="39"/>
      <c r="G14" s="39"/>
      <c r="H14" s="39"/>
      <c r="I14" s="39"/>
      <c r="J14" s="43"/>
      <c r="K14" s="44"/>
      <c r="L14" s="46"/>
      <c r="M14" s="46"/>
      <c r="N14" s="46"/>
      <c r="O14" s="46"/>
      <c r="P14" s="46"/>
      <c r="Q14" s="66"/>
      <c r="R14" s="46"/>
      <c r="S14" s="47"/>
      <c r="T14" s="45"/>
      <c r="U14" s="49"/>
      <c r="V14" s="49"/>
      <c r="W14" s="77"/>
      <c r="X14" s="80"/>
      <c r="Y14" s="80"/>
      <c r="Z14" s="77"/>
      <c r="AA14" s="79"/>
      <c r="AB14" s="79"/>
      <c r="AC14" s="77"/>
      <c r="AD14" s="79"/>
      <c r="AE14" s="79"/>
      <c r="AF14" s="79"/>
      <c r="AG14" s="77"/>
    </row>
    <row r="15" spans="1:33" ht="29" customHeight="1" x14ac:dyDescent="0.2">
      <c r="A15" s="53">
        <v>212.1</v>
      </c>
      <c r="B15" s="38">
        <f t="shared" si="1"/>
        <v>3</v>
      </c>
      <c r="C15" s="42" t="s">
        <v>84</v>
      </c>
      <c r="D15" s="39" t="str">
        <f t="shared" si="0"/>
        <v xml:space="preserve">                  Reactor Building Slab Roof</v>
      </c>
      <c r="E15" s="39" t="s">
        <v>35</v>
      </c>
      <c r="F15" s="47"/>
      <c r="G15" s="39"/>
      <c r="H15" s="39"/>
      <c r="I15" s="39"/>
      <c r="J15" s="43"/>
      <c r="K15" s="44">
        <f>1200 *1.53</f>
        <v>1836</v>
      </c>
      <c r="L15" s="45" t="s">
        <v>80</v>
      </c>
      <c r="M15" s="47" t="s">
        <v>85</v>
      </c>
      <c r="N15" s="46"/>
      <c r="O15" s="45" t="s">
        <v>82</v>
      </c>
      <c r="P15" s="46"/>
      <c r="Q15" s="66">
        <v>2024</v>
      </c>
      <c r="R15" s="45" t="s">
        <v>86</v>
      </c>
      <c r="S15" s="141" t="s">
        <v>74</v>
      </c>
      <c r="T15" s="141" t="s">
        <v>75</v>
      </c>
      <c r="U15" s="146" t="s">
        <v>76</v>
      </c>
      <c r="V15" s="49"/>
      <c r="W15" s="77" t="s">
        <v>77</v>
      </c>
      <c r="X15" s="80">
        <f>0.9*$J15</f>
        <v>0</v>
      </c>
      <c r="Y15" s="80">
        <f>1.5*J15</f>
        <v>0</v>
      </c>
      <c r="Z15" s="77" t="s">
        <v>44</v>
      </c>
      <c r="AA15" s="79">
        <f>0.9*K15</f>
        <v>1652.4</v>
      </c>
      <c r="AB15" s="79">
        <f>1.3*K15</f>
        <v>2386.8000000000002</v>
      </c>
      <c r="AC15" s="77" t="s">
        <v>44</v>
      </c>
      <c r="AD15" s="79" t="s">
        <v>45</v>
      </c>
      <c r="AE15" s="79" t="s">
        <v>46</v>
      </c>
      <c r="AF15" s="79" t="s">
        <v>47</v>
      </c>
      <c r="AG15" s="77" t="s">
        <v>48</v>
      </c>
    </row>
    <row r="16" spans="1:33" ht="29" customHeight="1" x14ac:dyDescent="0.2">
      <c r="A16" s="53">
        <v>212.2</v>
      </c>
      <c r="B16" s="38">
        <f t="shared" si="1"/>
        <v>3</v>
      </c>
      <c r="C16" s="42" t="s">
        <v>87</v>
      </c>
      <c r="D16" s="39" t="str">
        <f t="shared" si="0"/>
        <v xml:space="preserve">                  Reactor Building Basement</v>
      </c>
      <c r="E16" s="39" t="s">
        <v>35</v>
      </c>
      <c r="F16" s="39"/>
      <c r="G16" s="39"/>
      <c r="H16" s="39"/>
      <c r="I16" s="39"/>
      <c r="J16" s="43"/>
      <c r="K16" s="44">
        <f>943.9*1.53</f>
        <v>1444.1669999999999</v>
      </c>
      <c r="L16" s="45" t="s">
        <v>80</v>
      </c>
      <c r="M16" s="47" t="s">
        <v>88</v>
      </c>
      <c r="N16" s="46"/>
      <c r="O16" s="45" t="s">
        <v>82</v>
      </c>
      <c r="P16" s="46"/>
      <c r="Q16" s="66">
        <v>2024</v>
      </c>
      <c r="R16" s="45" t="s">
        <v>86</v>
      </c>
      <c r="S16" s="142"/>
      <c r="T16" s="142"/>
      <c r="U16" s="142"/>
      <c r="V16" s="49"/>
      <c r="W16" s="77" t="s">
        <v>77</v>
      </c>
      <c r="X16" s="80">
        <f>0.9*$J16</f>
        <v>0</v>
      </c>
      <c r="Y16" s="80">
        <f>1.5*J16</f>
        <v>0</v>
      </c>
      <c r="Z16" s="77" t="s">
        <v>44</v>
      </c>
      <c r="AA16" s="79">
        <f>0.9*K16</f>
        <v>1299.7502999999999</v>
      </c>
      <c r="AB16" s="79">
        <f>1.3*K16</f>
        <v>1877.4170999999999</v>
      </c>
      <c r="AC16" s="77" t="s">
        <v>44</v>
      </c>
      <c r="AD16" s="79" t="s">
        <v>45</v>
      </c>
      <c r="AE16" s="79" t="s">
        <v>46</v>
      </c>
      <c r="AF16" s="79" t="s">
        <v>47</v>
      </c>
      <c r="AG16" s="77" t="s">
        <v>48</v>
      </c>
    </row>
    <row r="17" spans="1:33" ht="43" customHeight="1" x14ac:dyDescent="0.2">
      <c r="A17" s="53">
        <v>212.3</v>
      </c>
      <c r="B17" s="38">
        <f t="shared" si="1"/>
        <v>3</v>
      </c>
      <c r="C17" s="42" t="s">
        <v>89</v>
      </c>
      <c r="D17" s="39" t="str">
        <f t="shared" si="0"/>
        <v xml:space="preserve">                  Reactor Building Walls</v>
      </c>
      <c r="E17" s="39" t="s">
        <v>35</v>
      </c>
      <c r="F17" s="39"/>
      <c r="G17" s="39"/>
      <c r="H17" s="39"/>
      <c r="I17" s="39"/>
      <c r="J17" s="43"/>
      <c r="K17" s="44">
        <f>721.21*1.53</f>
        <v>1103.4513000000002</v>
      </c>
      <c r="L17" s="45" t="s">
        <v>80</v>
      </c>
      <c r="M17" s="47" t="s">
        <v>90</v>
      </c>
      <c r="N17" s="46"/>
      <c r="O17" s="45" t="s">
        <v>82</v>
      </c>
      <c r="P17" s="46"/>
      <c r="Q17" s="66">
        <v>2024</v>
      </c>
      <c r="R17" s="45" t="s">
        <v>86</v>
      </c>
      <c r="S17" s="143"/>
      <c r="T17" s="143"/>
      <c r="U17" s="143"/>
      <c r="V17" s="49"/>
      <c r="W17" s="77" t="s">
        <v>77</v>
      </c>
      <c r="X17" s="80">
        <f>0.9*$J17</f>
        <v>0</v>
      </c>
      <c r="Y17" s="80">
        <f>1.5*J17</f>
        <v>0</v>
      </c>
      <c r="Z17" s="77" t="s">
        <v>44</v>
      </c>
      <c r="AA17" s="79">
        <f>0.9*K17</f>
        <v>993.10617000000013</v>
      </c>
      <c r="AB17" s="79">
        <f>1.3*K17</f>
        <v>1434.4866900000002</v>
      </c>
      <c r="AC17" s="77" t="s">
        <v>44</v>
      </c>
      <c r="AD17" s="79" t="s">
        <v>45</v>
      </c>
      <c r="AE17" s="79" t="s">
        <v>46</v>
      </c>
      <c r="AF17" s="79" t="s">
        <v>47</v>
      </c>
      <c r="AG17" s="77" t="s">
        <v>48</v>
      </c>
    </row>
    <row r="18" spans="1:33" ht="57" customHeight="1" x14ac:dyDescent="0.2">
      <c r="A18" s="53">
        <v>212.4</v>
      </c>
      <c r="B18" s="38">
        <f t="shared" si="1"/>
        <v>3</v>
      </c>
      <c r="C18" s="42" t="s">
        <v>91</v>
      </c>
      <c r="D18" s="39" t="str">
        <f t="shared" si="0"/>
        <v xml:space="preserve">                  Reactor Building Liner</v>
      </c>
      <c r="E18" s="39" t="s">
        <v>35</v>
      </c>
      <c r="F18" s="39"/>
      <c r="G18" s="39"/>
      <c r="H18" s="39"/>
      <c r="I18" s="39"/>
      <c r="J18" s="43"/>
      <c r="K18" s="44">
        <f>60848829/9373</f>
        <v>6491.9267043635973</v>
      </c>
      <c r="L18" s="45" t="s">
        <v>92</v>
      </c>
      <c r="M18" s="47" t="s">
        <v>93</v>
      </c>
      <c r="N18" s="46">
        <v>9373</v>
      </c>
      <c r="O18" s="45" t="s">
        <v>94</v>
      </c>
      <c r="P18" s="46">
        <v>1</v>
      </c>
      <c r="Q18" s="66">
        <v>2018</v>
      </c>
      <c r="R18" s="45" t="s">
        <v>86</v>
      </c>
      <c r="S18" s="47" t="s">
        <v>95</v>
      </c>
      <c r="T18" s="47" t="s">
        <v>95</v>
      </c>
      <c r="U18" s="84" t="s">
        <v>96</v>
      </c>
      <c r="V18" s="49"/>
      <c r="W18" s="77" t="s">
        <v>77</v>
      </c>
      <c r="X18" s="80">
        <f>0.9*$J18</f>
        <v>0</v>
      </c>
      <c r="Y18" s="80">
        <f>1.5*J18</f>
        <v>0</v>
      </c>
      <c r="Z18" s="77" t="s">
        <v>44</v>
      </c>
      <c r="AA18" s="79">
        <f>0.9*K18</f>
        <v>5842.7340339272378</v>
      </c>
      <c r="AB18" s="79">
        <f>1.3*K18</f>
        <v>8439.504715672676</v>
      </c>
      <c r="AC18" s="77" t="s">
        <v>44</v>
      </c>
      <c r="AD18" s="79" t="s">
        <v>45</v>
      </c>
      <c r="AE18" s="79" t="s">
        <v>46</v>
      </c>
      <c r="AF18" s="79" t="s">
        <v>47</v>
      </c>
      <c r="AG18" s="77" t="s">
        <v>48</v>
      </c>
    </row>
    <row r="19" spans="1:33" ht="57" customHeight="1" x14ac:dyDescent="0.2">
      <c r="A19" s="53">
        <v>212.5</v>
      </c>
      <c r="B19" s="38">
        <f t="shared" si="1"/>
        <v>3</v>
      </c>
      <c r="C19" s="42" t="s">
        <v>97</v>
      </c>
      <c r="D19" s="39" t="str">
        <f t="shared" si="0"/>
        <v xml:space="preserve">                  Reactor Building HVAC</v>
      </c>
      <c r="E19" s="39" t="s">
        <v>35</v>
      </c>
      <c r="F19" s="39"/>
      <c r="G19" s="39"/>
      <c r="H19" s="39"/>
      <c r="I19" s="39"/>
      <c r="J19" s="43"/>
      <c r="K19" s="44">
        <f>5917967/N19</f>
        <v>1731.9189347380743</v>
      </c>
      <c r="L19" s="45" t="s">
        <v>98</v>
      </c>
      <c r="M19" s="47" t="s">
        <v>99</v>
      </c>
      <c r="N19" s="46">
        <v>3417</v>
      </c>
      <c r="O19" s="45" t="s">
        <v>100</v>
      </c>
      <c r="P19" s="46">
        <v>0.8</v>
      </c>
      <c r="Q19" s="66">
        <v>2018</v>
      </c>
      <c r="R19" s="45" t="s">
        <v>86</v>
      </c>
      <c r="S19" s="47" t="s">
        <v>95</v>
      </c>
      <c r="T19" s="47" t="s">
        <v>95</v>
      </c>
      <c r="U19" s="84" t="s">
        <v>96</v>
      </c>
      <c r="V19" s="49"/>
      <c r="W19" s="77" t="s">
        <v>77</v>
      </c>
      <c r="X19" s="80">
        <f>0.9*$J19</f>
        <v>0</v>
      </c>
      <c r="Y19" s="80">
        <f>1.5*J19</f>
        <v>0</v>
      </c>
      <c r="Z19" s="77" t="s">
        <v>44</v>
      </c>
      <c r="AA19" s="79">
        <f>0.9*K19</f>
        <v>1558.727041264267</v>
      </c>
      <c r="AB19" s="79">
        <f>1.3*K19</f>
        <v>2251.4946151594968</v>
      </c>
      <c r="AC19" s="77" t="s">
        <v>44</v>
      </c>
      <c r="AD19" s="79" t="s">
        <v>45</v>
      </c>
      <c r="AE19" s="79" t="s">
        <v>46</v>
      </c>
      <c r="AF19" s="79" t="s">
        <v>47</v>
      </c>
      <c r="AG19" s="77" t="s">
        <v>48</v>
      </c>
    </row>
    <row r="20" spans="1:33" ht="15" customHeight="1" x14ac:dyDescent="0.2">
      <c r="A20" s="53">
        <v>213</v>
      </c>
      <c r="B20" s="38">
        <f t="shared" si="1"/>
        <v>2</v>
      </c>
      <c r="C20" s="42" t="s">
        <v>101</v>
      </c>
      <c r="D20" s="39" t="str">
        <f t="shared" si="0"/>
        <v xml:space="preserve">            Main Function Buildings</v>
      </c>
      <c r="E20" s="39"/>
      <c r="F20" s="39"/>
      <c r="G20" s="39"/>
      <c r="H20" s="39"/>
      <c r="I20" s="39"/>
      <c r="J20" s="43"/>
      <c r="K20" s="44"/>
      <c r="L20" s="46"/>
      <c r="M20" s="52"/>
      <c r="N20" s="46"/>
      <c r="O20" s="46"/>
      <c r="P20" s="46"/>
      <c r="Q20" s="43"/>
      <c r="R20" s="46"/>
      <c r="S20" s="52"/>
      <c r="T20" s="47"/>
      <c r="U20" s="48"/>
      <c r="V20" s="49"/>
      <c r="W20" s="77"/>
      <c r="X20" s="80"/>
      <c r="Y20" s="80"/>
      <c r="Z20" s="77"/>
      <c r="AA20" s="79"/>
      <c r="AB20" s="79"/>
      <c r="AC20" s="77"/>
      <c r="AD20" s="79"/>
      <c r="AE20" s="79"/>
      <c r="AF20" s="79"/>
      <c r="AG20" s="77"/>
    </row>
    <row r="21" spans="1:33" ht="15" customHeight="1" x14ac:dyDescent="0.2">
      <c r="A21" s="53">
        <v>213.1</v>
      </c>
      <c r="B21" s="38">
        <f t="shared" si="1"/>
        <v>3</v>
      </c>
      <c r="C21" s="42" t="s">
        <v>102</v>
      </c>
      <c r="D21" s="39" t="str">
        <f t="shared" si="0"/>
        <v xml:space="preserve">                  Energy conversion Building</v>
      </c>
      <c r="E21" s="39"/>
      <c r="F21" s="39"/>
      <c r="G21" s="39"/>
      <c r="H21" s="39"/>
      <c r="I21" s="39"/>
      <c r="J21" s="43"/>
      <c r="K21" s="44"/>
      <c r="L21" s="46"/>
      <c r="M21" s="52"/>
      <c r="N21" s="46"/>
      <c r="O21" s="46"/>
      <c r="P21" s="46"/>
      <c r="Q21" s="43"/>
      <c r="R21" s="46"/>
      <c r="S21" s="52"/>
      <c r="T21" s="47"/>
      <c r="U21" s="48"/>
      <c r="V21" s="49"/>
      <c r="W21" s="77"/>
      <c r="X21" s="80"/>
      <c r="Y21" s="80"/>
      <c r="Z21" s="77"/>
      <c r="AA21" s="79"/>
      <c r="AB21" s="79"/>
      <c r="AC21" s="77"/>
      <c r="AD21" s="79"/>
      <c r="AE21" s="79"/>
      <c r="AF21" s="79"/>
      <c r="AG21" s="77"/>
    </row>
    <row r="22" spans="1:33" ht="29" customHeight="1" x14ac:dyDescent="0.2">
      <c r="A22" s="53">
        <v>213.11</v>
      </c>
      <c r="B22" s="38">
        <f t="shared" si="1"/>
        <v>4</v>
      </c>
      <c r="C22" s="42" t="s">
        <v>103</v>
      </c>
      <c r="D22" s="39" t="str">
        <f t="shared" si="0"/>
        <v xml:space="preserve">                        Energy Conversion Building Slab Roof</v>
      </c>
      <c r="E22" s="39" t="s">
        <v>35</v>
      </c>
      <c r="F22" s="39"/>
      <c r="G22" s="39"/>
      <c r="H22" s="39"/>
      <c r="I22" s="39"/>
      <c r="J22" s="43"/>
      <c r="K22" s="44">
        <f>1200</f>
        <v>1200</v>
      </c>
      <c r="L22" s="45" t="s">
        <v>80</v>
      </c>
      <c r="M22" s="47" t="s">
        <v>104</v>
      </c>
      <c r="N22" s="46"/>
      <c r="O22" s="45" t="s">
        <v>82</v>
      </c>
      <c r="P22" s="46"/>
      <c r="Q22" s="66">
        <v>2024</v>
      </c>
      <c r="R22" s="45" t="s">
        <v>86</v>
      </c>
      <c r="S22" s="141" t="s">
        <v>105</v>
      </c>
      <c r="T22" s="141" t="s">
        <v>75</v>
      </c>
      <c r="U22" s="146" t="s">
        <v>76</v>
      </c>
      <c r="V22" s="49"/>
      <c r="W22" s="77" t="s">
        <v>77</v>
      </c>
      <c r="X22" s="80">
        <f>0.9*$J22</f>
        <v>0</v>
      </c>
      <c r="Y22" s="80">
        <f>1.5*J22</f>
        <v>0</v>
      </c>
      <c r="Z22" s="77" t="s">
        <v>44</v>
      </c>
      <c r="AA22" s="79">
        <f>0.9*K22</f>
        <v>1080</v>
      </c>
      <c r="AB22" s="79">
        <f>1.3*K22</f>
        <v>1560</v>
      </c>
      <c r="AC22" s="77" t="s">
        <v>44</v>
      </c>
      <c r="AD22" s="79" t="s">
        <v>45</v>
      </c>
      <c r="AE22" s="79" t="s">
        <v>46</v>
      </c>
      <c r="AF22" s="79" t="s">
        <v>47</v>
      </c>
      <c r="AG22" s="77" t="s">
        <v>48</v>
      </c>
    </row>
    <row r="23" spans="1:33" ht="29" customHeight="1" x14ac:dyDescent="0.2">
      <c r="A23" s="53">
        <v>213.12</v>
      </c>
      <c r="B23" s="38">
        <f t="shared" si="1"/>
        <v>4</v>
      </c>
      <c r="C23" s="42" t="s">
        <v>106</v>
      </c>
      <c r="D23" s="39" t="str">
        <f t="shared" si="0"/>
        <v xml:space="preserve">                        Energy Conversion Building Basement</v>
      </c>
      <c r="E23" s="39" t="s">
        <v>35</v>
      </c>
      <c r="F23" s="39"/>
      <c r="G23" s="39"/>
      <c r="H23" s="39"/>
      <c r="I23" s="39"/>
      <c r="J23" s="43"/>
      <c r="K23" s="44">
        <f>943.9</f>
        <v>943.9</v>
      </c>
      <c r="L23" s="45" t="s">
        <v>80</v>
      </c>
      <c r="M23" s="47" t="s">
        <v>107</v>
      </c>
      <c r="N23" s="46"/>
      <c r="O23" s="45" t="s">
        <v>82</v>
      </c>
      <c r="P23" s="46"/>
      <c r="Q23" s="66">
        <v>2024</v>
      </c>
      <c r="R23" s="45" t="s">
        <v>86</v>
      </c>
      <c r="S23" s="142"/>
      <c r="T23" s="142"/>
      <c r="U23" s="142"/>
      <c r="V23" s="49"/>
      <c r="W23" s="77" t="s">
        <v>77</v>
      </c>
      <c r="X23" s="80">
        <f>0.9*$J23</f>
        <v>0</v>
      </c>
      <c r="Y23" s="80">
        <f>1.5*J23</f>
        <v>0</v>
      </c>
      <c r="Z23" s="77" t="s">
        <v>44</v>
      </c>
      <c r="AA23" s="79">
        <f>0.9*K23</f>
        <v>849.51</v>
      </c>
      <c r="AB23" s="79">
        <f>1.3*K23</f>
        <v>1227.07</v>
      </c>
      <c r="AC23" s="77" t="s">
        <v>44</v>
      </c>
      <c r="AD23" s="79" t="s">
        <v>45</v>
      </c>
      <c r="AE23" s="79" t="s">
        <v>46</v>
      </c>
      <c r="AF23" s="79" t="s">
        <v>47</v>
      </c>
      <c r="AG23" s="77" t="s">
        <v>48</v>
      </c>
    </row>
    <row r="24" spans="1:33" ht="43" customHeight="1" x14ac:dyDescent="0.2">
      <c r="A24" s="53">
        <v>213.13</v>
      </c>
      <c r="B24" s="38">
        <f t="shared" si="1"/>
        <v>4</v>
      </c>
      <c r="C24" s="42" t="s">
        <v>108</v>
      </c>
      <c r="D24" s="39" t="str">
        <f t="shared" si="0"/>
        <v xml:space="preserve">                        Energy Conversion Building Walls</v>
      </c>
      <c r="E24" s="39" t="s">
        <v>35</v>
      </c>
      <c r="F24" s="39"/>
      <c r="G24" s="39"/>
      <c r="H24" s="39"/>
      <c r="I24" s="39"/>
      <c r="J24" s="43"/>
      <c r="K24" s="44">
        <f>721.21</f>
        <v>721.21</v>
      </c>
      <c r="L24" s="45" t="s">
        <v>80</v>
      </c>
      <c r="M24" s="47" t="s">
        <v>109</v>
      </c>
      <c r="N24" s="46"/>
      <c r="O24" s="45" t="s">
        <v>82</v>
      </c>
      <c r="P24" s="46"/>
      <c r="Q24" s="66">
        <v>2024</v>
      </c>
      <c r="R24" s="45" t="s">
        <v>86</v>
      </c>
      <c r="S24" s="143"/>
      <c r="T24" s="143"/>
      <c r="U24" s="143"/>
      <c r="V24" s="49"/>
      <c r="W24" s="77" t="s">
        <v>77</v>
      </c>
      <c r="X24" s="80">
        <f>0.9*$J24</f>
        <v>0</v>
      </c>
      <c r="Y24" s="80">
        <f>1.5*J24</f>
        <v>0</v>
      </c>
      <c r="Z24" s="77" t="s">
        <v>44</v>
      </c>
      <c r="AA24" s="79">
        <f>0.9*K24</f>
        <v>649.08900000000006</v>
      </c>
      <c r="AB24" s="79">
        <f>1.3*K24</f>
        <v>937.57300000000009</v>
      </c>
      <c r="AC24" s="77" t="s">
        <v>44</v>
      </c>
      <c r="AD24" s="79" t="s">
        <v>45</v>
      </c>
      <c r="AE24" s="79" t="s">
        <v>46</v>
      </c>
      <c r="AF24" s="79" t="s">
        <v>47</v>
      </c>
      <c r="AG24" s="77" t="s">
        <v>48</v>
      </c>
    </row>
    <row r="25" spans="1:33" ht="15" customHeight="1" x14ac:dyDescent="0.2">
      <c r="A25" s="53">
        <v>213.2</v>
      </c>
      <c r="B25" s="38">
        <f t="shared" si="1"/>
        <v>3</v>
      </c>
      <c r="C25" s="42" t="s">
        <v>110</v>
      </c>
      <c r="D25" s="39" t="str">
        <f t="shared" si="0"/>
        <v xml:space="preserve">                  Control building</v>
      </c>
      <c r="E25" s="39"/>
      <c r="F25" s="39"/>
      <c r="G25" s="39"/>
      <c r="H25" s="39"/>
      <c r="I25" s="39"/>
      <c r="J25" s="43"/>
      <c r="K25" s="44"/>
      <c r="L25" s="46"/>
      <c r="M25" s="52"/>
      <c r="N25" s="46"/>
      <c r="O25" s="46"/>
      <c r="P25" s="46"/>
      <c r="Q25" s="43"/>
      <c r="R25" s="46"/>
      <c r="S25" s="52"/>
      <c r="T25" s="47"/>
      <c r="U25" s="48"/>
      <c r="V25" s="49"/>
      <c r="W25" s="77"/>
      <c r="X25" s="80"/>
      <c r="Y25" s="80"/>
      <c r="Z25" s="77"/>
      <c r="AA25" s="79"/>
      <c r="AB25" s="79"/>
      <c r="AC25" s="77"/>
      <c r="AD25" s="79"/>
      <c r="AE25" s="79"/>
      <c r="AF25" s="79"/>
      <c r="AG25" s="77"/>
    </row>
    <row r="26" spans="1:33" ht="29" customHeight="1" x14ac:dyDescent="0.2">
      <c r="A26" s="53">
        <v>213.21</v>
      </c>
      <c r="B26" s="38">
        <f t="shared" si="1"/>
        <v>4</v>
      </c>
      <c r="C26" s="42" t="s">
        <v>111</v>
      </c>
      <c r="D26" s="39" t="str">
        <f t="shared" si="0"/>
        <v xml:space="preserve">                        Control Building Slab Roof</v>
      </c>
      <c r="E26" s="39" t="s">
        <v>35</v>
      </c>
      <c r="F26" s="39"/>
      <c r="G26" s="39"/>
      <c r="H26" s="39"/>
      <c r="I26" s="39"/>
      <c r="J26" s="43"/>
      <c r="K26" s="44">
        <f>1200</f>
        <v>1200</v>
      </c>
      <c r="L26" s="45" t="s">
        <v>80</v>
      </c>
      <c r="M26" s="47" t="s">
        <v>112</v>
      </c>
      <c r="N26" s="46"/>
      <c r="O26" s="45" t="s">
        <v>82</v>
      </c>
      <c r="P26" s="46"/>
      <c r="Q26" s="66">
        <v>2024</v>
      </c>
      <c r="R26" s="45" t="s">
        <v>86</v>
      </c>
      <c r="S26" s="141" t="s">
        <v>105</v>
      </c>
      <c r="T26" s="141" t="s">
        <v>75</v>
      </c>
      <c r="U26" s="146" t="s">
        <v>76</v>
      </c>
      <c r="V26" s="49"/>
      <c r="W26" s="77" t="s">
        <v>77</v>
      </c>
      <c r="X26" s="80">
        <f>0.9*$J26</f>
        <v>0</v>
      </c>
      <c r="Y26" s="80">
        <f>1.5*J26</f>
        <v>0</v>
      </c>
      <c r="Z26" s="77" t="s">
        <v>44</v>
      </c>
      <c r="AA26" s="79">
        <f>0.9*K26</f>
        <v>1080</v>
      </c>
      <c r="AB26" s="79">
        <f>1.3*K26</f>
        <v>1560</v>
      </c>
      <c r="AC26" s="77" t="s">
        <v>44</v>
      </c>
      <c r="AD26" s="79" t="s">
        <v>45</v>
      </c>
      <c r="AE26" s="79" t="s">
        <v>46</v>
      </c>
      <c r="AF26" s="79" t="s">
        <v>47</v>
      </c>
      <c r="AG26" s="77" t="s">
        <v>48</v>
      </c>
    </row>
    <row r="27" spans="1:33" ht="29" customHeight="1" x14ac:dyDescent="0.2">
      <c r="A27" s="53">
        <v>213.22</v>
      </c>
      <c r="B27" s="38">
        <f t="shared" si="1"/>
        <v>4</v>
      </c>
      <c r="C27" s="42" t="s">
        <v>113</v>
      </c>
      <c r="D27" s="39" t="str">
        <f t="shared" si="0"/>
        <v xml:space="preserve">                        Control Building Basement</v>
      </c>
      <c r="E27" s="39" t="s">
        <v>35</v>
      </c>
      <c r="F27" s="39"/>
      <c r="G27" s="39"/>
      <c r="H27" s="39"/>
      <c r="I27" s="39"/>
      <c r="J27" s="43"/>
      <c r="K27" s="44">
        <f>943.9</f>
        <v>943.9</v>
      </c>
      <c r="L27" s="45" t="s">
        <v>80</v>
      </c>
      <c r="M27" s="47" t="s">
        <v>114</v>
      </c>
      <c r="N27" s="46"/>
      <c r="O27" s="45" t="s">
        <v>82</v>
      </c>
      <c r="P27" s="46"/>
      <c r="Q27" s="66">
        <v>2024</v>
      </c>
      <c r="R27" s="45" t="s">
        <v>86</v>
      </c>
      <c r="S27" s="142"/>
      <c r="T27" s="142"/>
      <c r="U27" s="142"/>
      <c r="V27" s="49"/>
      <c r="W27" s="77" t="s">
        <v>77</v>
      </c>
      <c r="X27" s="80">
        <f>0.9*$J27</f>
        <v>0</v>
      </c>
      <c r="Y27" s="80">
        <f>1.5*J27</f>
        <v>0</v>
      </c>
      <c r="Z27" s="77" t="s">
        <v>44</v>
      </c>
      <c r="AA27" s="79">
        <f>0.9*K27</f>
        <v>849.51</v>
      </c>
      <c r="AB27" s="79">
        <f>1.3*K27</f>
        <v>1227.07</v>
      </c>
      <c r="AC27" s="77" t="s">
        <v>44</v>
      </c>
      <c r="AD27" s="79" t="s">
        <v>45</v>
      </c>
      <c r="AE27" s="79" t="s">
        <v>46</v>
      </c>
      <c r="AF27" s="79" t="s">
        <v>47</v>
      </c>
      <c r="AG27" s="77" t="s">
        <v>48</v>
      </c>
    </row>
    <row r="28" spans="1:33" ht="43" customHeight="1" x14ac:dyDescent="0.2">
      <c r="A28" s="53">
        <v>213.23</v>
      </c>
      <c r="B28" s="38">
        <f t="shared" si="1"/>
        <v>4</v>
      </c>
      <c r="C28" s="42" t="s">
        <v>115</v>
      </c>
      <c r="D28" s="39" t="str">
        <f t="shared" si="0"/>
        <v xml:space="preserve">                        Control Building Walls</v>
      </c>
      <c r="E28" s="39" t="s">
        <v>35</v>
      </c>
      <c r="F28" s="39"/>
      <c r="G28" s="39"/>
      <c r="H28" s="39"/>
      <c r="I28" s="39"/>
      <c r="J28" s="43"/>
      <c r="K28" s="44">
        <f>721.21</f>
        <v>721.21</v>
      </c>
      <c r="L28" s="45" t="s">
        <v>80</v>
      </c>
      <c r="M28" s="47" t="s">
        <v>116</v>
      </c>
      <c r="N28" s="46"/>
      <c r="O28" s="45" t="s">
        <v>82</v>
      </c>
      <c r="P28" s="46"/>
      <c r="Q28" s="66">
        <v>2024</v>
      </c>
      <c r="R28" s="45" t="s">
        <v>86</v>
      </c>
      <c r="S28" s="143"/>
      <c r="T28" s="143"/>
      <c r="U28" s="143"/>
      <c r="V28" s="49"/>
      <c r="W28" s="77" t="s">
        <v>77</v>
      </c>
      <c r="X28" s="80">
        <f>0.9*$J28</f>
        <v>0</v>
      </c>
      <c r="Y28" s="80">
        <f>1.5*J28</f>
        <v>0</v>
      </c>
      <c r="Z28" s="77" t="s">
        <v>44</v>
      </c>
      <c r="AA28" s="79">
        <f>0.9*K28</f>
        <v>649.08900000000006</v>
      </c>
      <c r="AB28" s="79">
        <f>1.3*K28</f>
        <v>937.57300000000009</v>
      </c>
      <c r="AC28" s="77" t="s">
        <v>44</v>
      </c>
      <c r="AD28" s="79" t="s">
        <v>45</v>
      </c>
      <c r="AE28" s="79" t="s">
        <v>46</v>
      </c>
      <c r="AF28" s="79" t="s">
        <v>47</v>
      </c>
      <c r="AG28" s="77" t="s">
        <v>48</v>
      </c>
    </row>
    <row r="29" spans="1:33" ht="15" customHeight="1" x14ac:dyDescent="0.2">
      <c r="A29" s="53">
        <v>213.3</v>
      </c>
      <c r="B29" s="38">
        <f t="shared" si="1"/>
        <v>3</v>
      </c>
      <c r="C29" s="42" t="s">
        <v>117</v>
      </c>
      <c r="D29" s="39" t="str">
        <f t="shared" si="0"/>
        <v xml:space="preserve">                  Integrated Heat Exchanger Building</v>
      </c>
      <c r="E29" s="39"/>
      <c r="F29" s="39" t="s">
        <v>118</v>
      </c>
      <c r="G29" s="39" t="s">
        <v>119</v>
      </c>
      <c r="H29" s="39"/>
      <c r="I29" s="39"/>
      <c r="J29" s="43"/>
      <c r="K29" s="44"/>
      <c r="L29" s="45"/>
      <c r="M29" s="47"/>
      <c r="N29" s="46"/>
      <c r="O29" s="45"/>
      <c r="P29" s="46"/>
      <c r="Q29" s="66"/>
      <c r="R29" s="45"/>
      <c r="S29" s="47"/>
      <c r="T29" s="47"/>
      <c r="U29" s="48"/>
      <c r="V29" s="49"/>
      <c r="W29" s="77"/>
      <c r="X29" s="80"/>
      <c r="Y29" s="80"/>
      <c r="Z29" s="77"/>
      <c r="AA29" s="79"/>
      <c r="AB29" s="79"/>
      <c r="AC29" s="77"/>
      <c r="AD29" s="79"/>
      <c r="AE29" s="79"/>
      <c r="AF29" s="79"/>
      <c r="AG29" s="77"/>
    </row>
    <row r="30" spans="1:33" ht="43" customHeight="1" x14ac:dyDescent="0.2">
      <c r="A30" s="53">
        <v>213.31</v>
      </c>
      <c r="B30" s="38">
        <f t="shared" si="1"/>
        <v>4</v>
      </c>
      <c r="C30" s="42" t="s">
        <v>120</v>
      </c>
      <c r="D30" s="39" t="str">
        <f t="shared" si="0"/>
        <v xml:space="preserve">                        Integrated Heat Exchanger Building Slab Roof</v>
      </c>
      <c r="E30" s="39" t="s">
        <v>35</v>
      </c>
      <c r="F30" s="39" t="s">
        <v>118</v>
      </c>
      <c r="G30" s="39" t="s">
        <v>119</v>
      </c>
      <c r="H30" s="39"/>
      <c r="I30" s="39"/>
      <c r="J30" s="43"/>
      <c r="K30" s="44">
        <f>1200</f>
        <v>1200</v>
      </c>
      <c r="L30" s="45" t="s">
        <v>80</v>
      </c>
      <c r="M30" s="47" t="s">
        <v>121</v>
      </c>
      <c r="N30" s="46"/>
      <c r="O30" s="45" t="s">
        <v>82</v>
      </c>
      <c r="P30" s="46"/>
      <c r="Q30" s="66">
        <v>2024</v>
      </c>
      <c r="R30" s="45" t="s">
        <v>86</v>
      </c>
      <c r="S30" s="141" t="s">
        <v>105</v>
      </c>
      <c r="T30" s="141" t="s">
        <v>75</v>
      </c>
      <c r="U30" s="146" t="s">
        <v>76</v>
      </c>
      <c r="V30" s="49"/>
      <c r="W30" s="77" t="s">
        <v>77</v>
      </c>
      <c r="X30" s="80">
        <f>0.9*$J30</f>
        <v>0</v>
      </c>
      <c r="Y30" s="80">
        <f>1.5*J30</f>
        <v>0</v>
      </c>
      <c r="Z30" s="77" t="s">
        <v>44</v>
      </c>
      <c r="AA30" s="79">
        <f>0.9*K30</f>
        <v>1080</v>
      </c>
      <c r="AB30" s="79">
        <f>1.3*K30</f>
        <v>1560</v>
      </c>
      <c r="AC30" s="77" t="s">
        <v>44</v>
      </c>
      <c r="AD30" s="79" t="s">
        <v>45</v>
      </c>
      <c r="AE30" s="79" t="s">
        <v>46</v>
      </c>
      <c r="AF30" s="79" t="s">
        <v>47</v>
      </c>
      <c r="AG30" s="77" t="s">
        <v>48</v>
      </c>
    </row>
    <row r="31" spans="1:33" ht="43" customHeight="1" x14ac:dyDescent="0.2">
      <c r="A31" s="53">
        <v>213.32</v>
      </c>
      <c r="B31" s="38">
        <f t="shared" si="1"/>
        <v>4</v>
      </c>
      <c r="C31" s="42" t="s">
        <v>122</v>
      </c>
      <c r="D31" s="39" t="str">
        <f t="shared" si="0"/>
        <v xml:space="preserve">                        Integrated Heat Exchanger Building Basement</v>
      </c>
      <c r="E31" s="39" t="s">
        <v>35</v>
      </c>
      <c r="F31" s="39" t="s">
        <v>118</v>
      </c>
      <c r="G31" s="39" t="s">
        <v>119</v>
      </c>
      <c r="H31" s="39"/>
      <c r="I31" s="39"/>
      <c r="J31" s="43"/>
      <c r="K31" s="44">
        <f>943.9</f>
        <v>943.9</v>
      </c>
      <c r="L31" s="45" t="s">
        <v>80</v>
      </c>
      <c r="M31" s="47" t="s">
        <v>123</v>
      </c>
      <c r="N31" s="46"/>
      <c r="O31" s="45" t="s">
        <v>82</v>
      </c>
      <c r="P31" s="46"/>
      <c r="Q31" s="66">
        <v>2024</v>
      </c>
      <c r="R31" s="45" t="s">
        <v>86</v>
      </c>
      <c r="S31" s="142"/>
      <c r="T31" s="142"/>
      <c r="U31" s="142"/>
      <c r="V31" s="49"/>
      <c r="W31" s="77" t="s">
        <v>77</v>
      </c>
      <c r="X31" s="80">
        <f>0.9*$J31</f>
        <v>0</v>
      </c>
      <c r="Y31" s="80">
        <f>1.5*J31</f>
        <v>0</v>
      </c>
      <c r="Z31" s="77" t="s">
        <v>44</v>
      </c>
      <c r="AA31" s="79">
        <f>0.9*K31</f>
        <v>849.51</v>
      </c>
      <c r="AB31" s="79">
        <f>1.3*K31</f>
        <v>1227.07</v>
      </c>
      <c r="AC31" s="77" t="s">
        <v>44</v>
      </c>
      <c r="AD31" s="79" t="s">
        <v>45</v>
      </c>
      <c r="AE31" s="79" t="s">
        <v>46</v>
      </c>
      <c r="AF31" s="79" t="s">
        <v>47</v>
      </c>
      <c r="AG31" s="77" t="s">
        <v>48</v>
      </c>
    </row>
    <row r="32" spans="1:33" ht="57" customHeight="1" x14ac:dyDescent="0.2">
      <c r="A32" s="53">
        <v>213.33</v>
      </c>
      <c r="B32" s="38">
        <f t="shared" si="1"/>
        <v>4</v>
      </c>
      <c r="C32" s="42" t="s">
        <v>124</v>
      </c>
      <c r="D32" s="39" t="str">
        <f t="shared" si="0"/>
        <v xml:space="preserve">                        Integrated Heat Exchanger Building Walls</v>
      </c>
      <c r="E32" s="39" t="s">
        <v>35</v>
      </c>
      <c r="F32" s="39" t="s">
        <v>118</v>
      </c>
      <c r="G32" s="39" t="s">
        <v>119</v>
      </c>
      <c r="H32" s="39"/>
      <c r="I32" s="39"/>
      <c r="J32" s="43"/>
      <c r="K32" s="44">
        <f>721.21</f>
        <v>721.21</v>
      </c>
      <c r="L32" s="45" t="s">
        <v>80</v>
      </c>
      <c r="M32" s="47" t="s">
        <v>125</v>
      </c>
      <c r="N32" s="46"/>
      <c r="O32" s="45" t="s">
        <v>82</v>
      </c>
      <c r="P32" s="46"/>
      <c r="Q32" s="66">
        <v>2024</v>
      </c>
      <c r="R32" s="45" t="s">
        <v>86</v>
      </c>
      <c r="S32" s="143"/>
      <c r="T32" s="143"/>
      <c r="U32" s="143"/>
      <c r="V32" s="49"/>
      <c r="W32" s="77" t="s">
        <v>77</v>
      </c>
      <c r="X32" s="80">
        <f>0.9*$J32</f>
        <v>0</v>
      </c>
      <c r="Y32" s="80">
        <f>1.5*J32</f>
        <v>0</v>
      </c>
      <c r="Z32" s="77" t="s">
        <v>44</v>
      </c>
      <c r="AA32" s="79">
        <f>0.9*K32</f>
        <v>649.08900000000006</v>
      </c>
      <c r="AB32" s="79">
        <f>1.3*K32</f>
        <v>937.57300000000009</v>
      </c>
      <c r="AC32" s="77" t="s">
        <v>44</v>
      </c>
      <c r="AD32" s="79" t="s">
        <v>45</v>
      </c>
      <c r="AE32" s="79" t="s">
        <v>46</v>
      </c>
      <c r="AF32" s="79" t="s">
        <v>47</v>
      </c>
      <c r="AG32" s="77" t="s">
        <v>48</v>
      </c>
    </row>
    <row r="33" spans="1:33" ht="57" customHeight="1" x14ac:dyDescent="0.2">
      <c r="A33" s="53">
        <v>213.34</v>
      </c>
      <c r="B33" s="38">
        <f t="shared" si="1"/>
        <v>4</v>
      </c>
      <c r="C33" s="42" t="s">
        <v>126</v>
      </c>
      <c r="D33" s="39" t="str">
        <f t="shared" si="0"/>
        <v xml:space="preserve">                        Integrated Heat Exchanger Building Liner</v>
      </c>
      <c r="E33" s="39" t="s">
        <v>35</v>
      </c>
      <c r="F33" s="39" t="s">
        <v>118</v>
      </c>
      <c r="G33" s="39" t="s">
        <v>119</v>
      </c>
      <c r="H33" s="39"/>
      <c r="I33" s="39"/>
      <c r="J33" s="43"/>
      <c r="K33" s="44">
        <f>60848829/9373</f>
        <v>6491.9267043635973</v>
      </c>
      <c r="L33" s="45" t="s">
        <v>92</v>
      </c>
      <c r="M33" s="47" t="s">
        <v>127</v>
      </c>
      <c r="N33" s="46">
        <v>9373</v>
      </c>
      <c r="O33" s="45" t="s">
        <v>94</v>
      </c>
      <c r="P33" s="46">
        <v>1</v>
      </c>
      <c r="Q33" s="66">
        <v>2018</v>
      </c>
      <c r="R33" s="45" t="s">
        <v>86</v>
      </c>
      <c r="S33" s="47" t="s">
        <v>95</v>
      </c>
      <c r="T33" s="47" t="s">
        <v>95</v>
      </c>
      <c r="U33" s="84" t="s">
        <v>96</v>
      </c>
      <c r="V33" s="49"/>
      <c r="W33" s="77" t="s">
        <v>77</v>
      </c>
      <c r="X33" s="80">
        <f>0.9*$J33</f>
        <v>0</v>
      </c>
      <c r="Y33" s="80">
        <f>1.5*J33</f>
        <v>0</v>
      </c>
      <c r="Z33" s="77" t="s">
        <v>44</v>
      </c>
      <c r="AA33" s="79">
        <f>0.9*K33</f>
        <v>5842.7340339272378</v>
      </c>
      <c r="AB33" s="79">
        <f>1.3*K33</f>
        <v>8439.504715672676</v>
      </c>
      <c r="AC33" s="77" t="s">
        <v>44</v>
      </c>
      <c r="AD33" s="79" t="s">
        <v>45</v>
      </c>
      <c r="AE33" s="79" t="s">
        <v>46</v>
      </c>
      <c r="AF33" s="79" t="s">
        <v>47</v>
      </c>
      <c r="AG33" s="77" t="s">
        <v>48</v>
      </c>
    </row>
    <row r="34" spans="1:33" ht="15" customHeight="1" x14ac:dyDescent="0.2">
      <c r="A34" s="53">
        <v>214</v>
      </c>
      <c r="B34" s="38">
        <f t="shared" si="1"/>
        <v>2</v>
      </c>
      <c r="C34" s="42" t="s">
        <v>128</v>
      </c>
      <c r="D34" s="39" t="str">
        <f t="shared" ref="D34:D65" si="2">REPT("   ", B34*2) &amp; C34</f>
        <v xml:space="preserve">            Buildings to Support Main Function </v>
      </c>
      <c r="E34" s="39"/>
      <c r="F34" s="39"/>
      <c r="G34" s="39"/>
      <c r="H34" s="39"/>
      <c r="I34" s="39"/>
      <c r="J34" s="43"/>
      <c r="K34" s="44"/>
      <c r="L34" s="46"/>
      <c r="M34" s="52"/>
      <c r="N34" s="46"/>
      <c r="O34" s="46"/>
      <c r="P34" s="46"/>
      <c r="Q34" s="43"/>
      <c r="R34" s="46"/>
      <c r="S34" s="52"/>
      <c r="T34" s="45"/>
      <c r="U34" s="49"/>
      <c r="V34" s="49"/>
      <c r="W34" s="77"/>
      <c r="X34" s="80"/>
      <c r="Y34" s="80"/>
      <c r="Z34" s="77"/>
      <c r="AA34" s="79"/>
      <c r="AB34" s="79"/>
      <c r="AC34" s="77"/>
      <c r="AD34" s="79"/>
      <c r="AE34" s="79"/>
      <c r="AF34" s="79"/>
      <c r="AG34" s="77"/>
    </row>
    <row r="35" spans="1:33" ht="15" customHeight="1" x14ac:dyDescent="0.2">
      <c r="A35" s="53">
        <v>214.1</v>
      </c>
      <c r="B35" s="38">
        <f t="shared" si="1"/>
        <v>3</v>
      </c>
      <c r="C35" s="42" t="s">
        <v>129</v>
      </c>
      <c r="D35" s="39" t="str">
        <f t="shared" si="2"/>
        <v xml:space="preserve">                  Fuel Management Buildings</v>
      </c>
      <c r="E35" s="39"/>
      <c r="F35" s="39"/>
      <c r="G35" s="39"/>
      <c r="H35" s="39"/>
      <c r="I35" s="39"/>
      <c r="J35" s="43"/>
      <c r="K35" s="44"/>
      <c r="L35" s="46"/>
      <c r="M35" s="52"/>
      <c r="N35" s="46"/>
      <c r="O35" s="46"/>
      <c r="P35" s="46"/>
      <c r="Q35" s="43"/>
      <c r="R35" s="46"/>
      <c r="S35" s="52"/>
      <c r="T35" s="45"/>
      <c r="U35" s="49"/>
      <c r="V35" s="49"/>
      <c r="W35" s="77"/>
      <c r="X35" s="80"/>
      <c r="Y35" s="80"/>
      <c r="Z35" s="77"/>
      <c r="AA35" s="79"/>
      <c r="AB35" s="79"/>
      <c r="AC35" s="77"/>
      <c r="AD35" s="79"/>
      <c r="AE35" s="79"/>
      <c r="AF35" s="79"/>
      <c r="AG35" s="77"/>
    </row>
    <row r="36" spans="1:33" ht="15" customHeight="1" x14ac:dyDescent="0.2">
      <c r="A36" s="53">
        <v>214.11</v>
      </c>
      <c r="B36" s="38">
        <f t="shared" si="1"/>
        <v>4</v>
      </c>
      <c r="C36" s="42" t="s">
        <v>130</v>
      </c>
      <c r="D36" s="39" t="str">
        <f t="shared" si="2"/>
        <v xml:space="preserve">                        Refueling Building</v>
      </c>
      <c r="E36" s="39"/>
      <c r="F36" s="39"/>
      <c r="G36" s="39"/>
      <c r="H36" s="39"/>
      <c r="I36" s="39"/>
      <c r="J36" s="43"/>
      <c r="K36" s="44"/>
      <c r="L36" s="46"/>
      <c r="M36" s="52"/>
      <c r="N36" s="46"/>
      <c r="O36" s="46"/>
      <c r="P36" s="46"/>
      <c r="Q36" s="43"/>
      <c r="R36" s="46"/>
      <c r="S36" s="52"/>
      <c r="T36" s="45"/>
      <c r="U36" s="49"/>
      <c r="V36" s="49"/>
      <c r="W36" s="77"/>
      <c r="X36" s="80"/>
      <c r="Y36" s="80"/>
      <c r="Z36" s="77"/>
      <c r="AA36" s="79"/>
      <c r="AB36" s="79"/>
      <c r="AC36" s="77"/>
      <c r="AD36" s="79"/>
      <c r="AE36" s="79"/>
      <c r="AF36" s="79"/>
      <c r="AG36" s="77"/>
    </row>
    <row r="37" spans="1:33" s="33" customFormat="1" ht="28" customHeight="1" x14ac:dyDescent="0.15">
      <c r="A37" s="53">
        <v>214.11099999999999</v>
      </c>
      <c r="B37" s="38">
        <f t="shared" si="1"/>
        <v>5</v>
      </c>
      <c r="C37" s="42" t="s">
        <v>131</v>
      </c>
      <c r="D37" s="39" t="str">
        <f t="shared" si="2"/>
        <v xml:space="preserve">                              Refueling Building Slab Roof</v>
      </c>
      <c r="E37" s="39" t="s">
        <v>35</v>
      </c>
      <c r="F37" s="39"/>
      <c r="G37" s="39"/>
      <c r="H37" s="39"/>
      <c r="I37" s="39"/>
      <c r="J37" s="43"/>
      <c r="K37" s="44">
        <f>1200 *1.53</f>
        <v>1836</v>
      </c>
      <c r="L37" s="45" t="s">
        <v>80</v>
      </c>
      <c r="M37" s="47" t="s">
        <v>132</v>
      </c>
      <c r="N37" s="46"/>
      <c r="O37" s="45" t="s">
        <v>82</v>
      </c>
      <c r="P37" s="46"/>
      <c r="Q37" s="66">
        <v>2024</v>
      </c>
      <c r="R37" s="45" t="s">
        <v>86</v>
      </c>
      <c r="S37" s="141" t="s">
        <v>74</v>
      </c>
      <c r="T37" s="141" t="s">
        <v>75</v>
      </c>
      <c r="U37" s="146" t="s">
        <v>76</v>
      </c>
      <c r="V37" s="49"/>
      <c r="W37" s="77" t="s">
        <v>77</v>
      </c>
      <c r="X37" s="80">
        <f>0.9*$J37</f>
        <v>0</v>
      </c>
      <c r="Y37" s="80">
        <f>1.5*J37</f>
        <v>0</v>
      </c>
      <c r="Z37" s="77"/>
      <c r="AA37" s="79">
        <f>0.9*K37</f>
        <v>1652.4</v>
      </c>
      <c r="AB37" s="79">
        <f>1.3*K37</f>
        <v>2386.8000000000002</v>
      </c>
      <c r="AC37" s="77" t="s">
        <v>44</v>
      </c>
      <c r="AD37" s="79" t="s">
        <v>45</v>
      </c>
      <c r="AE37" s="79" t="s">
        <v>46</v>
      </c>
      <c r="AF37" s="79" t="s">
        <v>47</v>
      </c>
      <c r="AG37" s="77" t="s">
        <v>48</v>
      </c>
    </row>
    <row r="38" spans="1:33" s="33" customFormat="1" ht="28" customHeight="1" x14ac:dyDescent="0.15">
      <c r="A38" s="53">
        <v>214.11199999999999</v>
      </c>
      <c r="B38" s="38">
        <f t="shared" si="1"/>
        <v>5</v>
      </c>
      <c r="C38" s="42" t="s">
        <v>133</v>
      </c>
      <c r="D38" s="39" t="str">
        <f t="shared" si="2"/>
        <v xml:space="preserve">                              Refueling Building Basement</v>
      </c>
      <c r="E38" s="39" t="s">
        <v>35</v>
      </c>
      <c r="F38" s="39"/>
      <c r="G38" s="39"/>
      <c r="H38" s="39"/>
      <c r="I38" s="39"/>
      <c r="J38" s="43"/>
      <c r="K38" s="44">
        <f>943.9*1.53</f>
        <v>1444.1669999999999</v>
      </c>
      <c r="L38" s="45" t="s">
        <v>80</v>
      </c>
      <c r="M38" s="47" t="s">
        <v>134</v>
      </c>
      <c r="N38" s="46"/>
      <c r="O38" s="45" t="s">
        <v>82</v>
      </c>
      <c r="P38" s="46"/>
      <c r="Q38" s="66">
        <v>2024</v>
      </c>
      <c r="R38" s="45" t="s">
        <v>86</v>
      </c>
      <c r="S38" s="142"/>
      <c r="T38" s="142"/>
      <c r="U38" s="142"/>
      <c r="V38" s="49"/>
      <c r="W38" s="77" t="s">
        <v>77</v>
      </c>
      <c r="X38" s="80">
        <f>0.9*$J38</f>
        <v>0</v>
      </c>
      <c r="Y38" s="80">
        <f>1.5*J38</f>
        <v>0</v>
      </c>
      <c r="Z38" s="77" t="s">
        <v>44</v>
      </c>
      <c r="AA38" s="79">
        <f>0.9*K38</f>
        <v>1299.7502999999999</v>
      </c>
      <c r="AB38" s="79">
        <f>1.3*K38</f>
        <v>1877.4170999999999</v>
      </c>
      <c r="AC38" s="77" t="s">
        <v>44</v>
      </c>
      <c r="AD38" s="79" t="s">
        <v>45</v>
      </c>
      <c r="AE38" s="79" t="s">
        <v>46</v>
      </c>
      <c r="AF38" s="79" t="s">
        <v>47</v>
      </c>
      <c r="AG38" s="77" t="s">
        <v>48</v>
      </c>
    </row>
    <row r="39" spans="1:33" s="33" customFormat="1" ht="42" customHeight="1" x14ac:dyDescent="0.15">
      <c r="A39" s="53">
        <v>214.113</v>
      </c>
      <c r="B39" s="38">
        <f t="shared" si="1"/>
        <v>5</v>
      </c>
      <c r="C39" s="42" t="s">
        <v>135</v>
      </c>
      <c r="D39" s="39" t="str">
        <f t="shared" si="2"/>
        <v xml:space="preserve">                              Refueling Building Walls</v>
      </c>
      <c r="E39" s="39" t="s">
        <v>35</v>
      </c>
      <c r="F39" s="39"/>
      <c r="G39" s="39"/>
      <c r="H39" s="39"/>
      <c r="I39" s="39"/>
      <c r="J39" s="43"/>
      <c r="K39" s="44">
        <f>721.21*1.53</f>
        <v>1103.4513000000002</v>
      </c>
      <c r="L39" s="45" t="s">
        <v>80</v>
      </c>
      <c r="M39" s="47" t="s">
        <v>136</v>
      </c>
      <c r="N39" s="46"/>
      <c r="O39" s="45" t="s">
        <v>82</v>
      </c>
      <c r="P39" s="46"/>
      <c r="Q39" s="66">
        <v>2024</v>
      </c>
      <c r="R39" s="45" t="s">
        <v>86</v>
      </c>
      <c r="S39" s="143"/>
      <c r="T39" s="143"/>
      <c r="U39" s="143"/>
      <c r="V39" s="49"/>
      <c r="W39" s="77" t="s">
        <v>77</v>
      </c>
      <c r="X39" s="80">
        <f>0.9*$J39</f>
        <v>0</v>
      </c>
      <c r="Y39" s="80">
        <f>1.5*J39</f>
        <v>0</v>
      </c>
      <c r="Z39" s="77" t="s">
        <v>44</v>
      </c>
      <c r="AA39" s="79">
        <f>0.9*K39</f>
        <v>993.10617000000013</v>
      </c>
      <c r="AB39" s="79">
        <f>1.3*K39</f>
        <v>1434.4866900000002</v>
      </c>
      <c r="AC39" s="77" t="s">
        <v>44</v>
      </c>
      <c r="AD39" s="79" t="s">
        <v>45</v>
      </c>
      <c r="AE39" s="79" t="s">
        <v>46</v>
      </c>
      <c r="AF39" s="79" t="s">
        <v>47</v>
      </c>
      <c r="AG39" s="77" t="s">
        <v>48</v>
      </c>
    </row>
    <row r="40" spans="1:33" ht="15" customHeight="1" x14ac:dyDescent="0.2">
      <c r="A40" s="53">
        <v>214.12</v>
      </c>
      <c r="B40" s="38">
        <f t="shared" si="1"/>
        <v>4</v>
      </c>
      <c r="C40" s="42" t="s">
        <v>137</v>
      </c>
      <c r="D40" s="39" t="str">
        <f t="shared" si="2"/>
        <v xml:space="preserve">                        Spent Fuel Building</v>
      </c>
      <c r="E40" s="39"/>
      <c r="F40" s="39"/>
      <c r="G40" s="39"/>
      <c r="H40" s="39"/>
      <c r="I40" s="39"/>
      <c r="J40" s="43"/>
      <c r="K40" s="44"/>
      <c r="L40" s="46"/>
      <c r="M40" s="52"/>
      <c r="N40" s="46"/>
      <c r="O40" s="46"/>
      <c r="P40" s="46"/>
      <c r="Q40" s="43"/>
      <c r="R40" s="46"/>
      <c r="S40" s="52"/>
      <c r="T40" s="45"/>
      <c r="U40" s="49"/>
      <c r="V40" s="49"/>
      <c r="W40" s="77"/>
      <c r="X40" s="80"/>
      <c r="Y40" s="80"/>
      <c r="Z40" s="77"/>
      <c r="AA40" s="79"/>
      <c r="AB40" s="79"/>
      <c r="AC40" s="77"/>
      <c r="AD40" s="79"/>
      <c r="AE40" s="79"/>
      <c r="AF40" s="79"/>
      <c r="AG40" s="77"/>
    </row>
    <row r="41" spans="1:33" s="33" customFormat="1" ht="28" customHeight="1" x14ac:dyDescent="0.15">
      <c r="A41" s="53">
        <v>214.12100000000001</v>
      </c>
      <c r="B41" s="38">
        <f t="shared" si="1"/>
        <v>5</v>
      </c>
      <c r="C41" s="42" t="s">
        <v>138</v>
      </c>
      <c r="D41" s="39" t="str">
        <f t="shared" si="2"/>
        <v xml:space="preserve">                              Spent Fuel Building Slab Roof</v>
      </c>
      <c r="E41" s="39" t="s">
        <v>35</v>
      </c>
      <c r="F41" s="39"/>
      <c r="G41" s="39"/>
      <c r="H41" s="39"/>
      <c r="I41" s="39"/>
      <c r="J41" s="43"/>
      <c r="K41" s="44">
        <f>1200 *1.53</f>
        <v>1836</v>
      </c>
      <c r="L41" s="45" t="s">
        <v>80</v>
      </c>
      <c r="M41" s="47" t="s">
        <v>139</v>
      </c>
      <c r="N41" s="46"/>
      <c r="O41" s="45" t="s">
        <v>82</v>
      </c>
      <c r="P41" s="46"/>
      <c r="Q41" s="66">
        <v>2024</v>
      </c>
      <c r="R41" s="46" t="s">
        <v>86</v>
      </c>
      <c r="S41" s="141" t="s">
        <v>74</v>
      </c>
      <c r="T41" s="141" t="s">
        <v>75</v>
      </c>
      <c r="U41" s="146" t="s">
        <v>76</v>
      </c>
      <c r="V41" s="49"/>
      <c r="W41" s="77" t="s">
        <v>77</v>
      </c>
      <c r="X41" s="80">
        <f>0.9*$J41</f>
        <v>0</v>
      </c>
      <c r="Y41" s="80">
        <f>1.5*J41</f>
        <v>0</v>
      </c>
      <c r="Z41" s="77" t="s">
        <v>44</v>
      </c>
      <c r="AA41" s="79">
        <f>0.9*K41</f>
        <v>1652.4</v>
      </c>
      <c r="AB41" s="79">
        <f>1.3*K41</f>
        <v>2386.8000000000002</v>
      </c>
      <c r="AC41" s="77" t="s">
        <v>44</v>
      </c>
      <c r="AD41" s="79" t="s">
        <v>45</v>
      </c>
      <c r="AE41" s="79" t="s">
        <v>46</v>
      </c>
      <c r="AF41" s="79" t="s">
        <v>47</v>
      </c>
      <c r="AG41" s="77" t="s">
        <v>48</v>
      </c>
    </row>
    <row r="42" spans="1:33" s="33" customFormat="1" ht="28" customHeight="1" x14ac:dyDescent="0.15">
      <c r="A42" s="53">
        <v>214.12200000000001</v>
      </c>
      <c r="B42" s="38">
        <f t="shared" si="1"/>
        <v>5</v>
      </c>
      <c r="C42" s="42" t="s">
        <v>140</v>
      </c>
      <c r="D42" s="39" t="str">
        <f t="shared" si="2"/>
        <v xml:space="preserve">                              Spent Fuel Building Basement</v>
      </c>
      <c r="E42" s="39" t="s">
        <v>35</v>
      </c>
      <c r="F42" s="39"/>
      <c r="G42" s="39"/>
      <c r="H42" s="39"/>
      <c r="I42" s="39"/>
      <c r="J42" s="43"/>
      <c r="K42" s="44">
        <f>943.9*1.53</f>
        <v>1444.1669999999999</v>
      </c>
      <c r="L42" s="45" t="s">
        <v>80</v>
      </c>
      <c r="M42" s="47" t="s">
        <v>141</v>
      </c>
      <c r="N42" s="46"/>
      <c r="O42" s="45" t="s">
        <v>82</v>
      </c>
      <c r="P42" s="46"/>
      <c r="Q42" s="66">
        <v>2024</v>
      </c>
      <c r="R42" s="46" t="s">
        <v>86</v>
      </c>
      <c r="S42" s="142"/>
      <c r="T42" s="142"/>
      <c r="U42" s="142"/>
      <c r="V42" s="49"/>
      <c r="W42" s="77" t="s">
        <v>77</v>
      </c>
      <c r="X42" s="80">
        <f>0.9*$J42</f>
        <v>0</v>
      </c>
      <c r="Y42" s="80">
        <f>1.5*J42</f>
        <v>0</v>
      </c>
      <c r="Z42" s="77" t="s">
        <v>44</v>
      </c>
      <c r="AA42" s="79">
        <f>0.9*K42</f>
        <v>1299.7502999999999</v>
      </c>
      <c r="AB42" s="79">
        <f>1.3*K42</f>
        <v>1877.4170999999999</v>
      </c>
      <c r="AC42" s="77" t="s">
        <v>44</v>
      </c>
      <c r="AD42" s="79" t="s">
        <v>45</v>
      </c>
      <c r="AE42" s="79" t="s">
        <v>46</v>
      </c>
      <c r="AF42" s="79" t="s">
        <v>47</v>
      </c>
      <c r="AG42" s="77" t="s">
        <v>48</v>
      </c>
    </row>
    <row r="43" spans="1:33" s="33" customFormat="1" ht="42" customHeight="1" x14ac:dyDescent="0.15">
      <c r="A43" s="53">
        <v>214.12299999999999</v>
      </c>
      <c r="B43" s="38">
        <f t="shared" si="1"/>
        <v>5</v>
      </c>
      <c r="C43" s="42" t="s">
        <v>142</v>
      </c>
      <c r="D43" s="39" t="str">
        <f t="shared" si="2"/>
        <v xml:space="preserve">                              Spent Fuel Building Walls</v>
      </c>
      <c r="E43" s="39" t="s">
        <v>35</v>
      </c>
      <c r="F43" s="39"/>
      <c r="G43" s="39"/>
      <c r="H43" s="39"/>
      <c r="I43" s="39"/>
      <c r="J43" s="43"/>
      <c r="K43" s="44">
        <f>721.21*1.53</f>
        <v>1103.4513000000002</v>
      </c>
      <c r="L43" s="45" t="s">
        <v>80</v>
      </c>
      <c r="M43" s="47" t="s">
        <v>143</v>
      </c>
      <c r="N43" s="46"/>
      <c r="O43" s="45" t="s">
        <v>82</v>
      </c>
      <c r="P43" s="46"/>
      <c r="Q43" s="66">
        <v>2024</v>
      </c>
      <c r="R43" s="45" t="s">
        <v>86</v>
      </c>
      <c r="S43" s="143"/>
      <c r="T43" s="143"/>
      <c r="U43" s="143"/>
      <c r="V43" s="49"/>
      <c r="W43" s="77" t="s">
        <v>77</v>
      </c>
      <c r="X43" s="80">
        <f>0.9*$J43</f>
        <v>0</v>
      </c>
      <c r="Y43" s="80">
        <f>1.5*J43</f>
        <v>0</v>
      </c>
      <c r="Z43" s="77" t="s">
        <v>44</v>
      </c>
      <c r="AA43" s="79">
        <f>0.9*K43</f>
        <v>993.10617000000013</v>
      </c>
      <c r="AB43" s="79">
        <f>1.3*K43</f>
        <v>1434.4866900000002</v>
      </c>
      <c r="AC43" s="77" t="s">
        <v>44</v>
      </c>
      <c r="AD43" s="79" t="s">
        <v>45</v>
      </c>
      <c r="AE43" s="79" t="s">
        <v>46</v>
      </c>
      <c r="AF43" s="79" t="s">
        <v>47</v>
      </c>
      <c r="AG43" s="77" t="s">
        <v>48</v>
      </c>
    </row>
    <row r="44" spans="1:33" ht="29" customHeight="1" x14ac:dyDescent="0.2">
      <c r="A44" s="53">
        <v>214.7</v>
      </c>
      <c r="B44" s="38">
        <f t="shared" si="1"/>
        <v>3</v>
      </c>
      <c r="C44" s="42" t="s">
        <v>144</v>
      </c>
      <c r="D44" s="39" t="str">
        <f t="shared" si="2"/>
        <v xml:space="preserve">                  Emergency and Start-up Power Systems Building</v>
      </c>
      <c r="E44" s="39"/>
      <c r="F44" s="39"/>
      <c r="G44" s="39"/>
      <c r="H44" s="39"/>
      <c r="I44" s="39"/>
      <c r="J44" s="43"/>
      <c r="K44" s="44"/>
      <c r="L44" s="45"/>
      <c r="M44" s="47"/>
      <c r="N44" s="46"/>
      <c r="O44" s="45"/>
      <c r="P44" s="46"/>
      <c r="Q44" s="66"/>
      <c r="R44" s="45"/>
      <c r="S44" s="47"/>
      <c r="T44" s="45"/>
      <c r="U44" s="49"/>
      <c r="V44" s="49"/>
      <c r="W44" s="77"/>
      <c r="X44" s="80"/>
      <c r="Y44" s="80"/>
      <c r="Z44" s="77"/>
      <c r="AA44" s="79"/>
      <c r="AB44" s="79"/>
      <c r="AC44" s="77"/>
      <c r="AD44" s="79"/>
      <c r="AE44" s="79"/>
      <c r="AF44" s="79"/>
      <c r="AG44" s="77"/>
    </row>
    <row r="45" spans="1:33" ht="15" customHeight="1" x14ac:dyDescent="0.2">
      <c r="A45" s="53">
        <v>214.71</v>
      </c>
      <c r="B45" s="38">
        <f t="shared" ref="B45:B69" si="3">IF(ISNUMBER(A45),
IF(AND(A45=INT(A45), MOD(A45, 10) = 0), 0,
IF(AND(A45=INT(A45), LEN(A45)=2), 1,
IF(AND(A45=INT(A45), LEN(A45)=3), 2,
LEN(A45) - FIND(".", A45) + 2)
)
),
"")</f>
        <v>4</v>
      </c>
      <c r="C45" s="42" t="s">
        <v>145</v>
      </c>
      <c r="D45" s="39" t="str">
        <f t="shared" si="2"/>
        <v xml:space="preserve">                        Emergency Building</v>
      </c>
      <c r="E45" s="39"/>
      <c r="F45" s="39"/>
      <c r="G45" s="39"/>
      <c r="H45" s="39"/>
      <c r="I45" s="39"/>
      <c r="J45" s="43"/>
      <c r="K45" s="44"/>
      <c r="L45" s="45"/>
      <c r="M45" s="47"/>
      <c r="N45" s="46"/>
      <c r="O45" s="45"/>
      <c r="P45" s="46"/>
      <c r="Q45" s="66"/>
      <c r="R45" s="45"/>
      <c r="S45" s="47"/>
      <c r="T45" s="45"/>
      <c r="U45" s="49"/>
      <c r="V45" s="49"/>
      <c r="W45" s="77"/>
      <c r="X45" s="80"/>
      <c r="Y45" s="80"/>
      <c r="Z45" s="77"/>
      <c r="AA45" s="79"/>
      <c r="AB45" s="79"/>
      <c r="AC45" s="77"/>
      <c r="AD45" s="79"/>
      <c r="AE45" s="79"/>
      <c r="AF45" s="79"/>
      <c r="AG45" s="77"/>
    </row>
    <row r="46" spans="1:33" s="33" customFormat="1" ht="28" customHeight="1" x14ac:dyDescent="0.15">
      <c r="A46" s="53">
        <v>214.71100000000001</v>
      </c>
      <c r="B46" s="38">
        <f t="shared" si="3"/>
        <v>5</v>
      </c>
      <c r="C46" s="42" t="s">
        <v>146</v>
      </c>
      <c r="D46" s="39" t="str">
        <f t="shared" si="2"/>
        <v xml:space="preserve">                              Emergency Building Slab Roof</v>
      </c>
      <c r="E46" s="39" t="s">
        <v>35</v>
      </c>
      <c r="F46" s="39"/>
      <c r="G46" s="39"/>
      <c r="H46" s="39"/>
      <c r="I46" s="39"/>
      <c r="J46" s="43"/>
      <c r="K46" s="44">
        <f>1200</f>
        <v>1200</v>
      </c>
      <c r="L46" s="45" t="s">
        <v>80</v>
      </c>
      <c r="M46" s="47" t="s">
        <v>147</v>
      </c>
      <c r="N46" s="46"/>
      <c r="O46" s="45" t="s">
        <v>82</v>
      </c>
      <c r="P46" s="46"/>
      <c r="Q46" s="66">
        <v>2024</v>
      </c>
      <c r="R46" s="46" t="s">
        <v>86</v>
      </c>
      <c r="S46" s="141" t="s">
        <v>105</v>
      </c>
      <c r="T46" s="141" t="s">
        <v>75</v>
      </c>
      <c r="U46" s="146" t="s">
        <v>76</v>
      </c>
      <c r="V46" s="49"/>
      <c r="W46" s="77" t="s">
        <v>77</v>
      </c>
      <c r="X46" s="80">
        <f>0.9*$J46</f>
        <v>0</v>
      </c>
      <c r="Y46" s="80">
        <f>1.5*J46</f>
        <v>0</v>
      </c>
      <c r="Z46" s="77" t="s">
        <v>44</v>
      </c>
      <c r="AA46" s="79">
        <f>0.9*K46</f>
        <v>1080</v>
      </c>
      <c r="AB46" s="79">
        <f>1.3*K46</f>
        <v>1560</v>
      </c>
      <c r="AC46" s="77" t="s">
        <v>44</v>
      </c>
      <c r="AD46" s="79" t="s">
        <v>45</v>
      </c>
      <c r="AE46" s="79" t="s">
        <v>46</v>
      </c>
      <c r="AF46" s="79" t="s">
        <v>47</v>
      </c>
      <c r="AG46" s="77" t="s">
        <v>48</v>
      </c>
    </row>
    <row r="47" spans="1:33" s="33" customFormat="1" ht="28" customHeight="1" x14ac:dyDescent="0.15">
      <c r="A47" s="53">
        <v>214.71199999999999</v>
      </c>
      <c r="B47" s="38">
        <f t="shared" si="3"/>
        <v>5</v>
      </c>
      <c r="C47" s="42" t="s">
        <v>148</v>
      </c>
      <c r="D47" s="39" t="str">
        <f t="shared" si="2"/>
        <v xml:space="preserve">                              Emergency Building Basement</v>
      </c>
      <c r="E47" s="39" t="s">
        <v>35</v>
      </c>
      <c r="F47" s="39"/>
      <c r="G47" s="39"/>
      <c r="H47" s="39"/>
      <c r="I47" s="39"/>
      <c r="J47" s="43"/>
      <c r="K47" s="44">
        <f>943.9</f>
        <v>943.9</v>
      </c>
      <c r="L47" s="45" t="s">
        <v>80</v>
      </c>
      <c r="M47" s="47" t="s">
        <v>149</v>
      </c>
      <c r="N47" s="46"/>
      <c r="O47" s="45" t="s">
        <v>82</v>
      </c>
      <c r="P47" s="46"/>
      <c r="Q47" s="66">
        <v>2024</v>
      </c>
      <c r="R47" s="46" t="s">
        <v>86</v>
      </c>
      <c r="S47" s="142"/>
      <c r="T47" s="142"/>
      <c r="U47" s="142"/>
      <c r="V47" s="49"/>
      <c r="W47" s="77" t="s">
        <v>77</v>
      </c>
      <c r="X47" s="80">
        <f>0.9*$J47</f>
        <v>0</v>
      </c>
      <c r="Y47" s="80">
        <f>1.5*J47</f>
        <v>0</v>
      </c>
      <c r="Z47" s="77" t="s">
        <v>44</v>
      </c>
      <c r="AA47" s="79">
        <f>0.9*K47</f>
        <v>849.51</v>
      </c>
      <c r="AB47" s="79">
        <f>1.3*K47</f>
        <v>1227.07</v>
      </c>
      <c r="AC47" s="77" t="s">
        <v>44</v>
      </c>
      <c r="AD47" s="79" t="s">
        <v>45</v>
      </c>
      <c r="AE47" s="79" t="s">
        <v>46</v>
      </c>
      <c r="AF47" s="79" t="s">
        <v>47</v>
      </c>
      <c r="AG47" s="77" t="s">
        <v>48</v>
      </c>
    </row>
    <row r="48" spans="1:33" s="33" customFormat="1" ht="42" customHeight="1" x14ac:dyDescent="0.15">
      <c r="A48" s="53">
        <v>214.71299999999999</v>
      </c>
      <c r="B48" s="38">
        <f t="shared" si="3"/>
        <v>5</v>
      </c>
      <c r="C48" s="42" t="s">
        <v>150</v>
      </c>
      <c r="D48" s="39" t="str">
        <f t="shared" si="2"/>
        <v xml:space="preserve">                              Emergency Building Walls</v>
      </c>
      <c r="E48" s="39" t="s">
        <v>35</v>
      </c>
      <c r="F48" s="39"/>
      <c r="G48" s="39"/>
      <c r="H48" s="39"/>
      <c r="I48" s="39"/>
      <c r="J48" s="43"/>
      <c r="K48" s="44">
        <f>721.21</f>
        <v>721.21</v>
      </c>
      <c r="L48" s="45" t="s">
        <v>80</v>
      </c>
      <c r="M48" s="47" t="s">
        <v>151</v>
      </c>
      <c r="N48" s="46"/>
      <c r="O48" s="45" t="s">
        <v>82</v>
      </c>
      <c r="P48" s="46"/>
      <c r="Q48" s="66">
        <v>2024</v>
      </c>
      <c r="R48" s="45" t="s">
        <v>86</v>
      </c>
      <c r="S48" s="143"/>
      <c r="T48" s="143"/>
      <c r="U48" s="143"/>
      <c r="V48" s="49"/>
      <c r="W48" s="77" t="s">
        <v>77</v>
      </c>
      <c r="X48" s="80">
        <f>0.9*$J48</f>
        <v>0</v>
      </c>
      <c r="Y48" s="80">
        <f>1.5*J48</f>
        <v>0</v>
      </c>
      <c r="Z48" s="77" t="s">
        <v>44</v>
      </c>
      <c r="AA48" s="79">
        <f>0.9*K48</f>
        <v>649.08900000000006</v>
      </c>
      <c r="AB48" s="79">
        <f>1.3*K48</f>
        <v>937.57300000000009</v>
      </c>
      <c r="AC48" s="77" t="s">
        <v>44</v>
      </c>
      <c r="AD48" s="79" t="s">
        <v>45</v>
      </c>
      <c r="AE48" s="79" t="s">
        <v>46</v>
      </c>
      <c r="AF48" s="79" t="s">
        <v>47</v>
      </c>
      <c r="AG48" s="77" t="s">
        <v>48</v>
      </c>
    </row>
    <row r="49" spans="1:33" ht="104" customHeight="1" x14ac:dyDescent="0.2">
      <c r="A49" s="53">
        <v>214.72</v>
      </c>
      <c r="B49" s="38">
        <f t="shared" si="3"/>
        <v>4</v>
      </c>
      <c r="C49" s="56" t="s">
        <v>152</v>
      </c>
      <c r="D49" s="39" t="str">
        <f t="shared" si="2"/>
        <v xml:space="preserve">                        Diesel Generator</v>
      </c>
      <c r="E49" s="39" t="s">
        <v>35</v>
      </c>
      <c r="F49" s="39"/>
      <c r="G49" s="39"/>
      <c r="H49" s="39"/>
      <c r="I49" s="39"/>
      <c r="J49" s="43"/>
      <c r="K49" s="57">
        <f>MARVEL_Cost!C11/N49</f>
        <v>2717311.5662650601</v>
      </c>
      <c r="L49" s="45" t="s">
        <v>98</v>
      </c>
      <c r="M49" s="47" t="s">
        <v>99</v>
      </c>
      <c r="N49" s="45">
        <f>'Design Variables'!B3/1000</f>
        <v>8.3000000000000004E-2</v>
      </c>
      <c r="O49" s="45" t="s">
        <v>100</v>
      </c>
      <c r="P49" s="45">
        <v>0.7</v>
      </c>
      <c r="Q49" s="66">
        <v>2024</v>
      </c>
      <c r="R49" s="45" t="s">
        <v>153</v>
      </c>
      <c r="S49" s="47" t="s">
        <v>154</v>
      </c>
      <c r="T49" s="47" t="s">
        <v>155</v>
      </c>
      <c r="U49" s="58" t="s">
        <v>156</v>
      </c>
      <c r="V49" s="49"/>
      <c r="W49" s="77" t="s">
        <v>157</v>
      </c>
      <c r="X49" s="80">
        <f>0.9*$J49</f>
        <v>0</v>
      </c>
      <c r="Y49" s="80">
        <f>1.5*J49</f>
        <v>0</v>
      </c>
      <c r="Z49" s="77" t="s">
        <v>44</v>
      </c>
      <c r="AA49" s="79">
        <f>0.9*K49</f>
        <v>2445580.4096385543</v>
      </c>
      <c r="AB49" s="79">
        <f>1.3*K49</f>
        <v>3532505.0361445784</v>
      </c>
      <c r="AC49" s="77" t="s">
        <v>44</v>
      </c>
      <c r="AD49" s="79" t="s">
        <v>45</v>
      </c>
      <c r="AE49" s="79" t="s">
        <v>46</v>
      </c>
      <c r="AF49" s="79" t="s">
        <v>47</v>
      </c>
      <c r="AG49" s="77" t="s">
        <v>48</v>
      </c>
    </row>
    <row r="50" spans="1:33" ht="12.75" customHeight="1" x14ac:dyDescent="0.2">
      <c r="A50" s="53">
        <v>214.8</v>
      </c>
      <c r="B50" s="38">
        <f t="shared" si="3"/>
        <v>3</v>
      </c>
      <c r="C50" s="56" t="s">
        <v>158</v>
      </c>
      <c r="D50" s="39" t="str">
        <f t="shared" si="2"/>
        <v xml:space="preserve">                  Auxilliary Building</v>
      </c>
      <c r="E50" s="39"/>
      <c r="F50" s="39"/>
      <c r="G50" s="39"/>
      <c r="H50" s="39"/>
      <c r="I50" s="39"/>
      <c r="J50" s="43"/>
      <c r="K50" s="57"/>
      <c r="L50" s="45"/>
      <c r="M50" s="47"/>
      <c r="N50" s="45"/>
      <c r="O50" s="45"/>
      <c r="P50" s="45"/>
      <c r="Q50" s="66"/>
      <c r="R50" s="45"/>
      <c r="S50" s="47"/>
      <c r="T50" s="47"/>
      <c r="U50" s="58"/>
      <c r="V50" s="49"/>
      <c r="W50" s="77"/>
      <c r="X50" s="80"/>
      <c r="Y50" s="80"/>
      <c r="Z50" s="77"/>
      <c r="AA50" s="79"/>
      <c r="AB50" s="79"/>
      <c r="AC50" s="77"/>
      <c r="AD50" s="79"/>
      <c r="AE50" s="79"/>
      <c r="AF50" s="79"/>
      <c r="AG50" s="77"/>
    </row>
    <row r="51" spans="1:33" ht="15" customHeight="1" x14ac:dyDescent="0.2">
      <c r="A51" s="53">
        <v>214.81</v>
      </c>
      <c r="B51" s="38">
        <f t="shared" si="3"/>
        <v>4</v>
      </c>
      <c r="C51" s="56" t="s">
        <v>159</v>
      </c>
      <c r="D51" s="39" t="str">
        <f t="shared" si="2"/>
        <v xml:space="preserve">                        Maniplator Building</v>
      </c>
      <c r="E51" s="39"/>
      <c r="F51" s="39"/>
      <c r="G51" s="45"/>
      <c r="H51" s="45"/>
      <c r="I51" s="45"/>
      <c r="J51" s="43"/>
      <c r="K51" s="57"/>
      <c r="L51" s="45"/>
      <c r="M51" s="47"/>
      <c r="N51" s="45"/>
      <c r="O51" s="45"/>
      <c r="P51" s="45"/>
      <c r="Q51" s="66"/>
      <c r="R51" s="45"/>
      <c r="S51" s="47"/>
      <c r="T51" s="47"/>
      <c r="U51" s="58"/>
      <c r="V51" s="49"/>
      <c r="W51" s="77"/>
      <c r="X51" s="80"/>
      <c r="Y51" s="80"/>
      <c r="Z51" s="77"/>
      <c r="AA51" s="79"/>
      <c r="AB51" s="79"/>
      <c r="AC51" s="77"/>
      <c r="AD51" s="79"/>
      <c r="AE51" s="79"/>
      <c r="AF51" s="79"/>
      <c r="AG51" s="77"/>
    </row>
    <row r="52" spans="1:33" ht="43" customHeight="1" x14ac:dyDescent="0.2">
      <c r="A52" s="53">
        <v>214.81100000000001</v>
      </c>
      <c r="B52" s="38">
        <f t="shared" si="3"/>
        <v>5</v>
      </c>
      <c r="C52" s="56" t="s">
        <v>160</v>
      </c>
      <c r="D52" s="39" t="str">
        <f t="shared" si="2"/>
        <v xml:space="preserve">                              Manipulator Building Slab Roof</v>
      </c>
      <c r="E52" s="39" t="s">
        <v>35</v>
      </c>
      <c r="F52" s="39"/>
      <c r="G52" s="45"/>
      <c r="H52" s="45"/>
      <c r="I52" s="45"/>
      <c r="J52" s="43"/>
      <c r="K52" s="44">
        <f>1200</f>
        <v>1200</v>
      </c>
      <c r="L52" s="45" t="s">
        <v>80</v>
      </c>
      <c r="M52" s="56" t="s">
        <v>161</v>
      </c>
      <c r="N52" s="45"/>
      <c r="O52" s="45" t="s">
        <v>82</v>
      </c>
      <c r="P52" s="46"/>
      <c r="Q52" s="66">
        <v>2024</v>
      </c>
      <c r="R52" s="46" t="s">
        <v>86</v>
      </c>
      <c r="S52" s="141" t="s">
        <v>105</v>
      </c>
      <c r="T52" s="141" t="s">
        <v>75</v>
      </c>
      <c r="U52" s="146" t="s">
        <v>76</v>
      </c>
      <c r="V52" s="147" t="s">
        <v>162</v>
      </c>
      <c r="W52" s="77" t="s">
        <v>77</v>
      </c>
      <c r="X52" s="80">
        <f>0.9*$J52</f>
        <v>0</v>
      </c>
      <c r="Y52" s="80">
        <f>1.5*J52</f>
        <v>0</v>
      </c>
      <c r="Z52" s="77" t="s">
        <v>44</v>
      </c>
      <c r="AA52" s="79">
        <f>0.9*K52</f>
        <v>1080</v>
      </c>
      <c r="AB52" s="79">
        <f>1.3*K52</f>
        <v>1560</v>
      </c>
      <c r="AC52" s="77" t="s">
        <v>44</v>
      </c>
      <c r="AD52" s="79" t="s">
        <v>45</v>
      </c>
      <c r="AE52" s="79" t="s">
        <v>46</v>
      </c>
      <c r="AF52" s="79" t="s">
        <v>47</v>
      </c>
      <c r="AG52" s="77" t="s">
        <v>48</v>
      </c>
    </row>
    <row r="53" spans="1:33" ht="43" customHeight="1" x14ac:dyDescent="0.2">
      <c r="A53" s="53">
        <v>214.81200000000001</v>
      </c>
      <c r="B53" s="38">
        <f t="shared" si="3"/>
        <v>5</v>
      </c>
      <c r="C53" s="56" t="s">
        <v>163</v>
      </c>
      <c r="D53" s="39" t="str">
        <f t="shared" si="2"/>
        <v xml:space="preserve">                              ManipulatorBuilding Basement</v>
      </c>
      <c r="E53" s="39" t="s">
        <v>35</v>
      </c>
      <c r="F53" s="39"/>
      <c r="G53" s="45"/>
      <c r="H53" s="45"/>
      <c r="I53" s="45"/>
      <c r="J53" s="43"/>
      <c r="K53" s="44">
        <f>943.9</f>
        <v>943.9</v>
      </c>
      <c r="L53" s="45" t="s">
        <v>80</v>
      </c>
      <c r="M53" s="56" t="s">
        <v>164</v>
      </c>
      <c r="N53" s="45"/>
      <c r="O53" s="45" t="s">
        <v>82</v>
      </c>
      <c r="P53" s="46"/>
      <c r="Q53" s="66">
        <v>2024</v>
      </c>
      <c r="R53" s="46" t="s">
        <v>86</v>
      </c>
      <c r="S53" s="142"/>
      <c r="T53" s="142"/>
      <c r="U53" s="142"/>
      <c r="V53" s="142"/>
      <c r="W53" s="77" t="s">
        <v>77</v>
      </c>
      <c r="X53" s="80">
        <f>0.9*$J53</f>
        <v>0</v>
      </c>
      <c r="Y53" s="80">
        <f>1.5*J53</f>
        <v>0</v>
      </c>
      <c r="Z53" s="77" t="s">
        <v>44</v>
      </c>
      <c r="AA53" s="79">
        <f>0.9*K53</f>
        <v>849.51</v>
      </c>
      <c r="AB53" s="79">
        <f>1.3*K53</f>
        <v>1227.07</v>
      </c>
      <c r="AC53" s="77" t="s">
        <v>44</v>
      </c>
      <c r="AD53" s="79" t="s">
        <v>45</v>
      </c>
      <c r="AE53" s="79" t="s">
        <v>46</v>
      </c>
      <c r="AF53" s="79" t="s">
        <v>47</v>
      </c>
      <c r="AG53" s="77" t="s">
        <v>48</v>
      </c>
    </row>
    <row r="54" spans="1:33" ht="43" customHeight="1" x14ac:dyDescent="0.2">
      <c r="A54" s="53">
        <v>214.81299999999999</v>
      </c>
      <c r="B54" s="38">
        <f t="shared" si="3"/>
        <v>5</v>
      </c>
      <c r="C54" s="56" t="s">
        <v>165</v>
      </c>
      <c r="D54" s="39" t="str">
        <f t="shared" si="2"/>
        <v xml:space="preserve">                              Manipulator Building Exterior Walls</v>
      </c>
      <c r="E54" s="39" t="s">
        <v>35</v>
      </c>
      <c r="F54" s="39"/>
      <c r="G54" s="45"/>
      <c r="H54" s="45"/>
      <c r="I54" s="45"/>
      <c r="J54" s="43"/>
      <c r="K54" s="44">
        <f>721.21</f>
        <v>721.21</v>
      </c>
      <c r="L54" s="45" t="s">
        <v>80</v>
      </c>
      <c r="M54" s="56" t="s">
        <v>166</v>
      </c>
      <c r="N54" s="45"/>
      <c r="O54" s="45" t="s">
        <v>82</v>
      </c>
      <c r="P54" s="46"/>
      <c r="Q54" s="66">
        <v>2024</v>
      </c>
      <c r="R54" s="45" t="s">
        <v>86</v>
      </c>
      <c r="S54" s="143"/>
      <c r="T54" s="143"/>
      <c r="U54" s="143"/>
      <c r="V54" s="143"/>
      <c r="W54" s="77" t="s">
        <v>77</v>
      </c>
      <c r="X54" s="80">
        <f>0.9*$J54</f>
        <v>0</v>
      </c>
      <c r="Y54" s="80">
        <f>1.5*J54</f>
        <v>0</v>
      </c>
      <c r="Z54" s="77" t="s">
        <v>44</v>
      </c>
      <c r="AA54" s="79">
        <f>0.9*K54</f>
        <v>649.08900000000006</v>
      </c>
      <c r="AB54" s="79">
        <f>1.3*K54</f>
        <v>937.57300000000009</v>
      </c>
      <c r="AC54" s="77" t="s">
        <v>44</v>
      </c>
      <c r="AD54" s="79" t="s">
        <v>45</v>
      </c>
      <c r="AE54" s="79" t="s">
        <v>46</v>
      </c>
      <c r="AF54" s="79" t="s">
        <v>47</v>
      </c>
      <c r="AG54" s="77" t="s">
        <v>48</v>
      </c>
    </row>
    <row r="55" spans="1:33" ht="15" customHeight="1" x14ac:dyDescent="0.2">
      <c r="A55" s="53">
        <v>215</v>
      </c>
      <c r="B55" s="38">
        <f t="shared" si="3"/>
        <v>2</v>
      </c>
      <c r="C55" s="56" t="s">
        <v>167</v>
      </c>
      <c r="D55" s="39" t="str">
        <f t="shared" si="2"/>
        <v xml:space="preserve">            Supply Chain Buildings</v>
      </c>
      <c r="E55" s="39"/>
      <c r="F55" s="39"/>
      <c r="G55" s="39"/>
      <c r="H55" s="39"/>
      <c r="I55" s="39"/>
      <c r="J55" s="43"/>
      <c r="K55" s="57"/>
      <c r="L55" s="45"/>
      <c r="M55" s="47"/>
      <c r="N55" s="45"/>
      <c r="O55" s="45"/>
      <c r="P55" s="45"/>
      <c r="Q55" s="66"/>
      <c r="R55" s="45"/>
      <c r="S55" s="47"/>
      <c r="T55" s="47"/>
      <c r="U55" s="58"/>
      <c r="V55" s="49"/>
      <c r="W55" s="77"/>
      <c r="X55" s="80"/>
      <c r="Y55" s="80"/>
      <c r="Z55" s="77"/>
      <c r="AA55" s="79"/>
      <c r="AB55" s="79"/>
      <c r="AC55" s="77"/>
      <c r="AD55" s="79"/>
      <c r="AE55" s="79"/>
      <c r="AF55" s="79"/>
      <c r="AG55" s="77"/>
    </row>
    <row r="56" spans="1:33" ht="15" customHeight="1" x14ac:dyDescent="0.2">
      <c r="A56" s="53">
        <v>215.1</v>
      </c>
      <c r="B56" s="38">
        <f t="shared" si="3"/>
        <v>3</v>
      </c>
      <c r="C56" s="56" t="s">
        <v>168</v>
      </c>
      <c r="D56" s="39" t="str">
        <f t="shared" si="2"/>
        <v xml:space="preserve">                  Storage Building</v>
      </c>
      <c r="E56" s="39"/>
      <c r="F56" s="39"/>
      <c r="G56" s="39"/>
      <c r="H56" s="39"/>
      <c r="I56" s="39"/>
      <c r="J56" s="43"/>
      <c r="K56" s="57"/>
      <c r="L56" s="45"/>
      <c r="M56" s="47"/>
      <c r="N56" s="45"/>
      <c r="O56" s="45"/>
      <c r="P56" s="45"/>
      <c r="Q56" s="66"/>
      <c r="R56" s="45"/>
      <c r="S56" s="47"/>
      <c r="T56" s="47"/>
      <c r="U56" s="58"/>
      <c r="V56" s="49"/>
      <c r="W56" s="77"/>
      <c r="X56" s="80"/>
      <c r="Y56" s="80"/>
      <c r="Z56" s="77"/>
      <c r="AA56" s="79"/>
      <c r="AB56" s="79"/>
      <c r="AC56" s="77"/>
      <c r="AD56" s="79"/>
      <c r="AE56" s="79"/>
      <c r="AF56" s="79"/>
      <c r="AG56" s="77"/>
    </row>
    <row r="57" spans="1:33" ht="29" customHeight="1" x14ac:dyDescent="0.2">
      <c r="A57" s="53">
        <v>215.11</v>
      </c>
      <c r="B57" s="38">
        <f t="shared" si="3"/>
        <v>4</v>
      </c>
      <c r="C57" s="56" t="s">
        <v>169</v>
      </c>
      <c r="D57" s="39" t="str">
        <f t="shared" si="2"/>
        <v xml:space="preserve">                        Storage Building Slab Roof</v>
      </c>
      <c r="E57" s="39" t="s">
        <v>35</v>
      </c>
      <c r="F57" s="39"/>
      <c r="G57" s="39"/>
      <c r="H57" s="39"/>
      <c r="I57" s="39"/>
      <c r="J57" s="43"/>
      <c r="K57" s="44">
        <f>1200</f>
        <v>1200</v>
      </c>
      <c r="L57" s="45" t="s">
        <v>80</v>
      </c>
      <c r="M57" s="47" t="s">
        <v>170</v>
      </c>
      <c r="N57" s="45"/>
      <c r="O57" s="45" t="s">
        <v>82</v>
      </c>
      <c r="P57" s="45"/>
      <c r="Q57" s="66">
        <v>2024</v>
      </c>
      <c r="R57" s="45" t="s">
        <v>86</v>
      </c>
      <c r="S57" s="141" t="s">
        <v>105</v>
      </c>
      <c r="T57" s="141" t="s">
        <v>75</v>
      </c>
      <c r="U57" s="146" t="s">
        <v>76</v>
      </c>
      <c r="V57" s="49"/>
      <c r="W57" s="77" t="s">
        <v>77</v>
      </c>
      <c r="X57" s="80">
        <f>0.9*$J57</f>
        <v>0</v>
      </c>
      <c r="Y57" s="80">
        <f>1.5*J57</f>
        <v>0</v>
      </c>
      <c r="Z57" s="77" t="s">
        <v>44</v>
      </c>
      <c r="AA57" s="79">
        <f>0.9*K57</f>
        <v>1080</v>
      </c>
      <c r="AB57" s="79">
        <f>1.3*K57</f>
        <v>1560</v>
      </c>
      <c r="AC57" s="77" t="s">
        <v>44</v>
      </c>
      <c r="AD57" s="79" t="s">
        <v>45</v>
      </c>
      <c r="AE57" s="79" t="s">
        <v>46</v>
      </c>
      <c r="AF57" s="79" t="s">
        <v>47</v>
      </c>
      <c r="AG57" s="77" t="s">
        <v>48</v>
      </c>
    </row>
    <row r="58" spans="1:33" ht="29" customHeight="1" x14ac:dyDescent="0.2">
      <c r="A58" s="53">
        <v>215.12</v>
      </c>
      <c r="B58" s="38">
        <f t="shared" si="3"/>
        <v>4</v>
      </c>
      <c r="C58" s="56" t="s">
        <v>171</v>
      </c>
      <c r="D58" s="39" t="str">
        <f t="shared" si="2"/>
        <v xml:space="preserve">                        Storage Building Basement</v>
      </c>
      <c r="E58" s="39" t="s">
        <v>35</v>
      </c>
      <c r="F58" s="39"/>
      <c r="G58" s="39"/>
      <c r="H58" s="39"/>
      <c r="I58" s="39"/>
      <c r="J58" s="43"/>
      <c r="K58" s="44">
        <f>943.9</f>
        <v>943.9</v>
      </c>
      <c r="L58" s="45" t="s">
        <v>80</v>
      </c>
      <c r="M58" s="47" t="s">
        <v>172</v>
      </c>
      <c r="N58" s="45"/>
      <c r="O58" s="45" t="s">
        <v>82</v>
      </c>
      <c r="P58" s="45"/>
      <c r="Q58" s="66">
        <v>2024</v>
      </c>
      <c r="R58" s="45" t="s">
        <v>86</v>
      </c>
      <c r="S58" s="142"/>
      <c r="T58" s="142"/>
      <c r="U58" s="142"/>
      <c r="V58" s="49"/>
      <c r="W58" s="77" t="s">
        <v>77</v>
      </c>
      <c r="X58" s="80">
        <f>0.9*$J58</f>
        <v>0</v>
      </c>
      <c r="Y58" s="80">
        <f>1.5*J58</f>
        <v>0</v>
      </c>
      <c r="Z58" s="77" t="s">
        <v>44</v>
      </c>
      <c r="AA58" s="79">
        <f>0.9*K58</f>
        <v>849.51</v>
      </c>
      <c r="AB58" s="79">
        <f>1.3*K58</f>
        <v>1227.07</v>
      </c>
      <c r="AC58" s="77" t="s">
        <v>44</v>
      </c>
      <c r="AD58" s="79" t="s">
        <v>45</v>
      </c>
      <c r="AE58" s="79" t="s">
        <v>46</v>
      </c>
      <c r="AF58" s="79" t="s">
        <v>47</v>
      </c>
      <c r="AG58" s="77" t="s">
        <v>48</v>
      </c>
    </row>
    <row r="59" spans="1:33" ht="43" customHeight="1" x14ac:dyDescent="0.2">
      <c r="A59" s="53">
        <v>215.13</v>
      </c>
      <c r="B59" s="38">
        <f t="shared" si="3"/>
        <v>4</v>
      </c>
      <c r="C59" s="56" t="s">
        <v>173</v>
      </c>
      <c r="D59" s="39" t="str">
        <f t="shared" si="2"/>
        <v xml:space="preserve">                        Storage Building Walls</v>
      </c>
      <c r="E59" s="39" t="s">
        <v>35</v>
      </c>
      <c r="F59" s="39"/>
      <c r="G59" s="39"/>
      <c r="H59" s="39"/>
      <c r="I59" s="39"/>
      <c r="J59" s="43"/>
      <c r="K59" s="44">
        <f>721.21</f>
        <v>721.21</v>
      </c>
      <c r="L59" s="45" t="s">
        <v>80</v>
      </c>
      <c r="M59" s="47" t="s">
        <v>174</v>
      </c>
      <c r="N59" s="45"/>
      <c r="O59" s="45" t="s">
        <v>82</v>
      </c>
      <c r="P59" s="45"/>
      <c r="Q59" s="66">
        <v>2024</v>
      </c>
      <c r="R59" s="45" t="s">
        <v>86</v>
      </c>
      <c r="S59" s="143"/>
      <c r="T59" s="143"/>
      <c r="U59" s="143"/>
      <c r="V59" s="49"/>
      <c r="W59" s="77" t="s">
        <v>77</v>
      </c>
      <c r="X59" s="80">
        <f>0.9*$J59</f>
        <v>0</v>
      </c>
      <c r="Y59" s="80">
        <f>1.5*J59</f>
        <v>0</v>
      </c>
      <c r="Z59" s="77" t="s">
        <v>44</v>
      </c>
      <c r="AA59" s="79">
        <f>0.9*K59</f>
        <v>649.08900000000006</v>
      </c>
      <c r="AB59" s="79">
        <f>1.3*K59</f>
        <v>937.57300000000009</v>
      </c>
      <c r="AC59" s="77" t="s">
        <v>44</v>
      </c>
      <c r="AD59" s="79" t="s">
        <v>45</v>
      </c>
      <c r="AE59" s="79" t="s">
        <v>46</v>
      </c>
      <c r="AF59" s="79" t="s">
        <v>47</v>
      </c>
      <c r="AG59" s="77" t="s">
        <v>48</v>
      </c>
    </row>
    <row r="60" spans="1:33" ht="15" customHeight="1" x14ac:dyDescent="0.2">
      <c r="A60" s="53">
        <v>215.4</v>
      </c>
      <c r="B60" s="38">
        <f t="shared" si="3"/>
        <v>3</v>
      </c>
      <c r="C60" s="56" t="s">
        <v>175</v>
      </c>
      <c r="D60" s="39" t="str">
        <f t="shared" si="2"/>
        <v xml:space="preserve">                  Radwaste Building</v>
      </c>
      <c r="E60" s="39"/>
      <c r="F60" s="39"/>
      <c r="G60" s="39"/>
      <c r="H60" s="39"/>
      <c r="I60" s="39"/>
      <c r="J60" s="43"/>
      <c r="K60" s="57"/>
      <c r="L60" s="45"/>
      <c r="M60" s="47"/>
      <c r="N60" s="45"/>
      <c r="O60" s="45"/>
      <c r="P60" s="45"/>
      <c r="Q60" s="66"/>
      <c r="R60" s="45"/>
      <c r="S60" s="47"/>
      <c r="T60" s="47"/>
      <c r="U60" s="58"/>
      <c r="V60" s="49"/>
      <c r="W60" s="77"/>
      <c r="X60" s="80"/>
      <c r="Y60" s="80"/>
      <c r="Z60" s="77"/>
      <c r="AA60" s="79"/>
      <c r="AB60" s="79"/>
      <c r="AC60" s="77"/>
      <c r="AD60" s="79"/>
      <c r="AE60" s="79"/>
      <c r="AF60" s="79"/>
      <c r="AG60" s="77"/>
    </row>
    <row r="61" spans="1:33" ht="29" customHeight="1" x14ac:dyDescent="0.2">
      <c r="A61" s="53">
        <v>215.41</v>
      </c>
      <c r="B61" s="38">
        <f t="shared" si="3"/>
        <v>4</v>
      </c>
      <c r="C61" s="56" t="s">
        <v>176</v>
      </c>
      <c r="D61" s="39" t="str">
        <f t="shared" si="2"/>
        <v xml:space="preserve">                        Radwaste Building Slab Roof</v>
      </c>
      <c r="E61" s="39" t="s">
        <v>35</v>
      </c>
      <c r="F61" s="39"/>
      <c r="G61" s="39"/>
      <c r="H61" s="39"/>
      <c r="I61" s="39"/>
      <c r="J61" s="43"/>
      <c r="K61" s="44">
        <f>1200 *1.53</f>
        <v>1836</v>
      </c>
      <c r="L61" s="45" t="s">
        <v>80</v>
      </c>
      <c r="M61" s="47" t="s">
        <v>177</v>
      </c>
      <c r="N61" s="45"/>
      <c r="O61" s="45" t="s">
        <v>82</v>
      </c>
      <c r="P61" s="45"/>
      <c r="Q61" s="66">
        <v>2024</v>
      </c>
      <c r="R61" s="45" t="s">
        <v>86</v>
      </c>
      <c r="S61" s="141" t="s">
        <v>74</v>
      </c>
      <c r="T61" s="141" t="s">
        <v>75</v>
      </c>
      <c r="U61" s="146" t="s">
        <v>76</v>
      </c>
      <c r="V61" s="49"/>
      <c r="W61" s="77" t="s">
        <v>77</v>
      </c>
      <c r="X61" s="80">
        <f>0.9*$J61</f>
        <v>0</v>
      </c>
      <c r="Y61" s="80">
        <f>1.5*J61</f>
        <v>0</v>
      </c>
      <c r="Z61" s="77" t="s">
        <v>44</v>
      </c>
      <c r="AA61" s="79">
        <f>0.9*K61</f>
        <v>1652.4</v>
      </c>
      <c r="AB61" s="79">
        <f>1.3*K61</f>
        <v>2386.8000000000002</v>
      </c>
      <c r="AC61" s="77" t="s">
        <v>44</v>
      </c>
      <c r="AD61" s="79" t="s">
        <v>45</v>
      </c>
      <c r="AE61" s="79" t="s">
        <v>46</v>
      </c>
      <c r="AF61" s="79" t="s">
        <v>47</v>
      </c>
      <c r="AG61" s="77" t="s">
        <v>48</v>
      </c>
    </row>
    <row r="62" spans="1:33" ht="29" customHeight="1" x14ac:dyDescent="0.2">
      <c r="A62" s="53">
        <v>215.42</v>
      </c>
      <c r="B62" s="38">
        <f t="shared" si="3"/>
        <v>4</v>
      </c>
      <c r="C62" s="56" t="s">
        <v>178</v>
      </c>
      <c r="D62" s="39" t="str">
        <f t="shared" si="2"/>
        <v xml:space="preserve">                        Radwaste Building Basement</v>
      </c>
      <c r="E62" s="39" t="s">
        <v>35</v>
      </c>
      <c r="F62" s="39"/>
      <c r="G62" s="39"/>
      <c r="H62" s="39"/>
      <c r="I62" s="39"/>
      <c r="J62" s="43"/>
      <c r="K62" s="44">
        <f>943.9*1.53</f>
        <v>1444.1669999999999</v>
      </c>
      <c r="L62" s="45" t="s">
        <v>80</v>
      </c>
      <c r="M62" s="47" t="s">
        <v>179</v>
      </c>
      <c r="N62" s="45"/>
      <c r="O62" s="45" t="s">
        <v>82</v>
      </c>
      <c r="P62" s="45"/>
      <c r="Q62" s="66">
        <v>2024</v>
      </c>
      <c r="R62" s="45" t="s">
        <v>86</v>
      </c>
      <c r="S62" s="142"/>
      <c r="T62" s="142"/>
      <c r="U62" s="142"/>
      <c r="V62" s="49"/>
      <c r="W62" s="77" t="s">
        <v>77</v>
      </c>
      <c r="X62" s="80">
        <f>0.9*$J62</f>
        <v>0</v>
      </c>
      <c r="Y62" s="80">
        <f>1.5*J62</f>
        <v>0</v>
      </c>
      <c r="Z62" s="77" t="s">
        <v>44</v>
      </c>
      <c r="AA62" s="79">
        <f>0.9*K62</f>
        <v>1299.7502999999999</v>
      </c>
      <c r="AB62" s="79">
        <f>1.3*K62</f>
        <v>1877.4170999999999</v>
      </c>
      <c r="AC62" s="77" t="s">
        <v>44</v>
      </c>
      <c r="AD62" s="79" t="s">
        <v>45</v>
      </c>
      <c r="AE62" s="79" t="s">
        <v>46</v>
      </c>
      <c r="AF62" s="79" t="s">
        <v>47</v>
      </c>
      <c r="AG62" s="77" t="s">
        <v>48</v>
      </c>
    </row>
    <row r="63" spans="1:33" ht="43" customHeight="1" x14ac:dyDescent="0.2">
      <c r="A63" s="53">
        <v>215.43</v>
      </c>
      <c r="B63" s="38">
        <f t="shared" si="3"/>
        <v>4</v>
      </c>
      <c r="C63" s="56" t="s">
        <v>180</v>
      </c>
      <c r="D63" s="39" t="str">
        <f t="shared" si="2"/>
        <v xml:space="preserve">                        Radwaste Building Walls</v>
      </c>
      <c r="E63" s="39" t="s">
        <v>35</v>
      </c>
      <c r="F63" s="39"/>
      <c r="G63" s="39"/>
      <c r="H63" s="39"/>
      <c r="I63" s="39"/>
      <c r="J63" s="43"/>
      <c r="K63" s="44">
        <f>721.21*1.53</f>
        <v>1103.4513000000002</v>
      </c>
      <c r="L63" s="45" t="s">
        <v>80</v>
      </c>
      <c r="M63" s="47" t="s">
        <v>181</v>
      </c>
      <c r="N63" s="45"/>
      <c r="O63" s="45" t="s">
        <v>82</v>
      </c>
      <c r="P63" s="45"/>
      <c r="Q63" s="66">
        <v>2024</v>
      </c>
      <c r="R63" s="45" t="s">
        <v>86</v>
      </c>
      <c r="S63" s="143"/>
      <c r="T63" s="143"/>
      <c r="U63" s="143"/>
      <c r="V63" s="49"/>
      <c r="W63" s="77" t="s">
        <v>77</v>
      </c>
      <c r="X63" s="80">
        <f>0.9*$J63</f>
        <v>0</v>
      </c>
      <c r="Y63" s="80">
        <f>1.5*J63</f>
        <v>0</v>
      </c>
      <c r="Z63" s="77" t="s">
        <v>44</v>
      </c>
      <c r="AA63" s="79">
        <f>0.9*K63</f>
        <v>993.10617000000013</v>
      </c>
      <c r="AB63" s="79">
        <f>1.3*K63</f>
        <v>1434.4866900000002</v>
      </c>
      <c r="AC63" s="77" t="s">
        <v>44</v>
      </c>
      <c r="AD63" s="79" t="s">
        <v>45</v>
      </c>
      <c r="AE63" s="79" t="s">
        <v>46</v>
      </c>
      <c r="AF63" s="79" t="s">
        <v>47</v>
      </c>
      <c r="AG63" s="77" t="s">
        <v>48</v>
      </c>
    </row>
    <row r="64" spans="1:33" ht="15" customHeight="1" x14ac:dyDescent="0.2">
      <c r="A64" s="37">
        <v>22</v>
      </c>
      <c r="B64" s="38">
        <f t="shared" si="3"/>
        <v>1</v>
      </c>
      <c r="C64" s="56" t="s">
        <v>182</v>
      </c>
      <c r="D64" s="39" t="str">
        <f t="shared" si="2"/>
        <v xml:space="preserve">      Reactor System</v>
      </c>
      <c r="E64" s="39"/>
      <c r="F64" s="39"/>
      <c r="G64" s="39"/>
      <c r="H64" s="39"/>
      <c r="I64" s="39"/>
      <c r="J64" s="43"/>
      <c r="K64" s="44"/>
      <c r="L64" s="46"/>
      <c r="M64" s="59"/>
      <c r="N64" s="49"/>
      <c r="O64" s="49"/>
      <c r="P64" s="49"/>
      <c r="Q64" s="66"/>
      <c r="R64" s="49"/>
      <c r="S64" s="59"/>
      <c r="T64" s="49"/>
      <c r="U64" s="49"/>
      <c r="V64" s="49"/>
      <c r="W64" s="77"/>
      <c r="X64" s="80"/>
      <c r="Y64" s="80"/>
      <c r="Z64" s="77"/>
      <c r="AA64" s="79"/>
      <c r="AB64" s="79"/>
      <c r="AC64" s="77"/>
      <c r="AD64" s="79"/>
      <c r="AE64" s="79"/>
      <c r="AF64" s="79"/>
      <c r="AG64" s="77"/>
    </row>
    <row r="65" spans="1:33" ht="15" customHeight="1" x14ac:dyDescent="0.2">
      <c r="A65" s="53">
        <v>221</v>
      </c>
      <c r="B65" s="38">
        <f t="shared" si="3"/>
        <v>2</v>
      </c>
      <c r="C65" s="56" t="s">
        <v>183</v>
      </c>
      <c r="D65" s="39" t="str">
        <f t="shared" si="2"/>
        <v xml:space="preserve">            Reactor Components</v>
      </c>
      <c r="E65" s="39"/>
      <c r="F65" s="39"/>
      <c r="G65" s="39"/>
      <c r="H65" s="39"/>
      <c r="I65" s="39"/>
      <c r="J65" s="43"/>
      <c r="K65" s="44"/>
      <c r="L65" s="46"/>
      <c r="M65" s="59"/>
      <c r="N65" s="49"/>
      <c r="O65" s="49"/>
      <c r="P65" s="49"/>
      <c r="Q65" s="66"/>
      <c r="R65" s="49"/>
      <c r="S65" s="59"/>
      <c r="T65" s="49"/>
      <c r="U65" s="49"/>
      <c r="V65" s="49"/>
      <c r="W65" s="77"/>
      <c r="X65" s="80"/>
      <c r="Y65" s="80"/>
      <c r="Z65" s="77"/>
      <c r="AA65" s="79"/>
      <c r="AB65" s="79"/>
      <c r="AC65" s="77"/>
      <c r="AD65" s="79"/>
      <c r="AE65" s="79"/>
      <c r="AF65" s="79"/>
      <c r="AG65" s="77"/>
    </row>
    <row r="66" spans="1:33" ht="30" customHeight="1" x14ac:dyDescent="0.2">
      <c r="A66" s="53">
        <v>221.1</v>
      </c>
      <c r="B66" s="38">
        <f t="shared" si="3"/>
        <v>3</v>
      </c>
      <c r="C66" s="56" t="s">
        <v>184</v>
      </c>
      <c r="D66" s="39" t="str">
        <f t="shared" ref="D66:D97" si="4">REPT("   ", B66*2) &amp; C66</f>
        <v xml:space="preserve">                  Reactor Vessel and Accessories</v>
      </c>
      <c r="E66" s="39"/>
      <c r="F66" s="39"/>
      <c r="G66" s="39"/>
      <c r="H66" s="39"/>
      <c r="I66" s="39"/>
      <c r="J66" s="43"/>
      <c r="K66" s="60"/>
      <c r="L66" s="49"/>
      <c r="M66" s="59"/>
      <c r="N66" s="49"/>
      <c r="O66" s="49"/>
      <c r="P66" s="49"/>
      <c r="Q66" s="66"/>
      <c r="R66" s="49"/>
      <c r="S66" s="59"/>
      <c r="T66" s="49"/>
      <c r="U66" s="49"/>
      <c r="V66" s="49"/>
      <c r="W66" s="77"/>
      <c r="X66" s="80"/>
      <c r="Y66" s="80"/>
      <c r="Z66" s="77"/>
      <c r="AA66" s="79"/>
      <c r="AB66" s="79"/>
      <c r="AC66" s="77"/>
      <c r="AD66" s="79"/>
      <c r="AE66" s="79"/>
      <c r="AF66" s="79"/>
      <c r="AG66" s="77"/>
    </row>
    <row r="67" spans="1:33" ht="63" customHeight="1" x14ac:dyDescent="0.2">
      <c r="A67" s="53">
        <v>221.11</v>
      </c>
      <c r="B67" s="38">
        <f t="shared" si="3"/>
        <v>4</v>
      </c>
      <c r="C67" s="56" t="s">
        <v>185</v>
      </c>
      <c r="D67" s="39" t="str">
        <f t="shared" si="4"/>
        <v xml:space="preserve">                        Reactor Support</v>
      </c>
      <c r="E67" s="39" t="s">
        <v>35</v>
      </c>
      <c r="F67" s="39"/>
      <c r="G67" s="39"/>
      <c r="H67" s="39"/>
      <c r="I67" s="39"/>
      <c r="J67" s="43"/>
      <c r="K67" s="61">
        <f>MARVEL_Cost!C16/N67</f>
        <v>311.55798937474458</v>
      </c>
      <c r="L67" s="49" t="s">
        <v>186</v>
      </c>
      <c r="M67" s="59" t="s">
        <v>187</v>
      </c>
      <c r="N67" s="49">
        <f>1000*('Design Variables'!B52+'Design Variables'!B49)</f>
        <v>2447</v>
      </c>
      <c r="O67" s="49" t="s">
        <v>188</v>
      </c>
      <c r="P67" s="49">
        <v>0.85</v>
      </c>
      <c r="Q67" s="66">
        <v>2018</v>
      </c>
      <c r="R67" s="49" t="s">
        <v>86</v>
      </c>
      <c r="S67" s="59" t="s">
        <v>189</v>
      </c>
      <c r="T67" s="59"/>
      <c r="U67" s="56"/>
      <c r="V67" s="59" t="s">
        <v>190</v>
      </c>
      <c r="W67" s="77" t="s">
        <v>191</v>
      </c>
      <c r="X67" s="80">
        <f t="shared" ref="X67:X73" si="5">0.9*$J67</f>
        <v>0</v>
      </c>
      <c r="Y67" s="80">
        <f t="shared" ref="Y67:Y73" si="6">1.5*J67</f>
        <v>0</v>
      </c>
      <c r="Z67" s="77" t="s">
        <v>44</v>
      </c>
      <c r="AA67" s="79">
        <f t="shared" ref="AA67:AA73" si="7">0.9*K67</f>
        <v>280.40219043727012</v>
      </c>
      <c r="AB67" s="79">
        <f t="shared" ref="AB67:AB73" si="8">1.3*K67</f>
        <v>405.02538618716795</v>
      </c>
      <c r="AC67" s="77" t="s">
        <v>44</v>
      </c>
      <c r="AD67" s="79" t="s">
        <v>45</v>
      </c>
      <c r="AE67" s="79" t="s">
        <v>46</v>
      </c>
      <c r="AF67" s="79" t="s">
        <v>47</v>
      </c>
      <c r="AG67" s="77" t="s">
        <v>48</v>
      </c>
    </row>
    <row r="68" spans="1:33" ht="30" customHeight="1" x14ac:dyDescent="0.2">
      <c r="A68" s="53">
        <v>221.12</v>
      </c>
      <c r="B68" s="38">
        <f t="shared" si="3"/>
        <v>4</v>
      </c>
      <c r="C68" s="56" t="s">
        <v>192</v>
      </c>
      <c r="D68" s="39" t="str">
        <f t="shared" si="4"/>
        <v xml:space="preserve">                        Outer Vessel Structure</v>
      </c>
      <c r="E68" s="39" t="s">
        <v>35</v>
      </c>
      <c r="F68" s="39" t="s">
        <v>193</v>
      </c>
      <c r="G68" s="39" t="s">
        <v>194</v>
      </c>
      <c r="H68" s="39"/>
      <c r="I68" s="39"/>
      <c r="J68" s="43"/>
      <c r="K68" s="61">
        <f>MARVEL_Cost!C17/N68</f>
        <v>757.20768746061754</v>
      </c>
      <c r="L68" s="49" t="s">
        <v>186</v>
      </c>
      <c r="M68" s="59" t="s">
        <v>195</v>
      </c>
      <c r="N68" s="62">
        <f>'Design Variables'!B52*1000</f>
        <v>1587</v>
      </c>
      <c r="O68" s="49" t="s">
        <v>188</v>
      </c>
      <c r="P68" s="49"/>
      <c r="Q68" s="66">
        <v>2017</v>
      </c>
      <c r="R68" s="49" t="s">
        <v>86</v>
      </c>
      <c r="S68" s="59" t="s">
        <v>196</v>
      </c>
      <c r="T68" s="144" t="s">
        <v>197</v>
      </c>
      <c r="U68" s="56"/>
      <c r="V68" s="49"/>
      <c r="W68" s="77" t="s">
        <v>191</v>
      </c>
      <c r="X68" s="80">
        <f t="shared" si="5"/>
        <v>0</v>
      </c>
      <c r="Y68" s="80">
        <f t="shared" si="6"/>
        <v>0</v>
      </c>
      <c r="Z68" s="77" t="s">
        <v>44</v>
      </c>
      <c r="AA68" s="79">
        <f t="shared" si="7"/>
        <v>681.48691871455583</v>
      </c>
      <c r="AB68" s="79">
        <f t="shared" si="8"/>
        <v>984.36999369880277</v>
      </c>
      <c r="AC68" s="77" t="s">
        <v>44</v>
      </c>
      <c r="AD68" s="79" t="s">
        <v>45</v>
      </c>
      <c r="AE68" s="79" t="s">
        <v>46</v>
      </c>
      <c r="AF68" s="79" t="s">
        <v>47</v>
      </c>
      <c r="AG68" s="77" t="s">
        <v>48</v>
      </c>
    </row>
    <row r="69" spans="1:33" ht="30" customHeight="1" x14ac:dyDescent="0.2">
      <c r="A69" s="53">
        <v>221.12</v>
      </c>
      <c r="B69" s="38">
        <f t="shared" si="3"/>
        <v>4</v>
      </c>
      <c r="C69" s="56" t="s">
        <v>192</v>
      </c>
      <c r="D69" s="39" t="str">
        <f t="shared" si="4"/>
        <v xml:space="preserve">                        Outer Vessel Structure</v>
      </c>
      <c r="E69" s="39" t="s">
        <v>35</v>
      </c>
      <c r="F69" s="39" t="s">
        <v>193</v>
      </c>
      <c r="G69" s="39" t="s">
        <v>198</v>
      </c>
      <c r="H69" s="39"/>
      <c r="I69" s="39"/>
      <c r="J69" s="43"/>
      <c r="K69" s="61">
        <v>154.08000000000001</v>
      </c>
      <c r="L69" s="49" t="s">
        <v>186</v>
      </c>
      <c r="M69" s="59" t="s">
        <v>195</v>
      </c>
      <c r="N69" s="62"/>
      <c r="O69" s="49"/>
      <c r="P69" s="49"/>
      <c r="Q69" s="66">
        <v>2017</v>
      </c>
      <c r="R69" s="49" t="s">
        <v>86</v>
      </c>
      <c r="S69" s="59" t="s">
        <v>196</v>
      </c>
      <c r="T69" s="142"/>
      <c r="U69" s="56"/>
      <c r="V69" s="49"/>
      <c r="W69" s="77" t="s">
        <v>191</v>
      </c>
      <c r="X69" s="80">
        <f t="shared" si="5"/>
        <v>0</v>
      </c>
      <c r="Y69" s="80">
        <f t="shared" si="6"/>
        <v>0</v>
      </c>
      <c r="Z69" s="77" t="s">
        <v>44</v>
      </c>
      <c r="AA69" s="79">
        <f t="shared" si="7"/>
        <v>138.67200000000003</v>
      </c>
      <c r="AB69" s="79">
        <f t="shared" si="8"/>
        <v>200.30400000000003</v>
      </c>
      <c r="AC69" s="77" t="s">
        <v>44</v>
      </c>
      <c r="AD69" s="79" t="s">
        <v>45</v>
      </c>
      <c r="AE69" s="79" t="s">
        <v>46</v>
      </c>
      <c r="AF69" s="79" t="s">
        <v>47</v>
      </c>
      <c r="AG69" s="77" t="s">
        <v>48</v>
      </c>
    </row>
    <row r="70" spans="1:33" ht="30" customHeight="1" x14ac:dyDescent="0.2">
      <c r="A70" s="53">
        <v>221.12</v>
      </c>
      <c r="B70" s="38">
        <f>IF(ISNUMBER(A70),
    IF(AND(A70=INT(A70), MOD(A70, 10) = 0), 0,
        IF(AND(A70=INT(A70), LEN(A70)=2), 1,
            IF(AND(A70=INT(A70), LEN(A70)=3), 2,
                LEN(A70) - FIND(".", A70) + 2)
        )
    ),
"")</f>
        <v>4</v>
      </c>
      <c r="C70" s="56" t="s">
        <v>192</v>
      </c>
      <c r="D70" s="39" t="str">
        <f t="shared" si="4"/>
        <v xml:space="preserve">                        Outer Vessel Structure</v>
      </c>
      <c r="E70" s="39" t="s">
        <v>35</v>
      </c>
      <c r="F70" s="39" t="s">
        <v>193</v>
      </c>
      <c r="G70" s="39" t="s">
        <v>199</v>
      </c>
      <c r="H70" s="39"/>
      <c r="I70" s="39"/>
      <c r="J70" s="43"/>
      <c r="K70" s="61">
        <v>444.08</v>
      </c>
      <c r="L70" s="49" t="s">
        <v>186</v>
      </c>
      <c r="M70" s="59" t="s">
        <v>195</v>
      </c>
      <c r="N70" s="62"/>
      <c r="O70" s="49"/>
      <c r="P70" s="49"/>
      <c r="Q70" s="66">
        <v>2017</v>
      </c>
      <c r="R70" s="49" t="s">
        <v>86</v>
      </c>
      <c r="S70" s="59" t="s">
        <v>196</v>
      </c>
      <c r="T70" s="142"/>
      <c r="U70" s="56"/>
      <c r="V70" s="49"/>
      <c r="W70" s="77" t="s">
        <v>191</v>
      </c>
      <c r="X70" s="80">
        <f t="shared" si="5"/>
        <v>0</v>
      </c>
      <c r="Y70" s="80">
        <f t="shared" si="6"/>
        <v>0</v>
      </c>
      <c r="Z70" s="77" t="s">
        <v>44</v>
      </c>
      <c r="AA70" s="79">
        <f t="shared" si="7"/>
        <v>399.67199999999997</v>
      </c>
      <c r="AB70" s="79">
        <f t="shared" si="8"/>
        <v>577.30399999999997</v>
      </c>
      <c r="AC70" s="77" t="s">
        <v>44</v>
      </c>
      <c r="AD70" s="79" t="s">
        <v>45</v>
      </c>
      <c r="AE70" s="79" t="s">
        <v>46</v>
      </c>
      <c r="AF70" s="79" t="s">
        <v>47</v>
      </c>
      <c r="AG70" s="77" t="s">
        <v>48</v>
      </c>
    </row>
    <row r="71" spans="1:33" ht="30" customHeight="1" x14ac:dyDescent="0.2">
      <c r="A71" s="53">
        <v>221.13</v>
      </c>
      <c r="B71" s="38">
        <f>IF(ISNUMBER(A71),
IF(AND(A71=INT(A71), MOD(A71, 10) = 0), 0,
IF(AND(A71=INT(A71), LEN(A71)=2), 1,
IF(AND(A71=INT(A71), LEN(A71)=3), 2,
LEN(A71) - FIND(".", A71) + 2)
)
),
"")</f>
        <v>4</v>
      </c>
      <c r="C71" s="56" t="s">
        <v>200</v>
      </c>
      <c r="D71" s="39" t="str">
        <f t="shared" si="4"/>
        <v xml:space="preserve">                        Inner Vessel Structure</v>
      </c>
      <c r="E71" s="39" t="s">
        <v>35</v>
      </c>
      <c r="F71" s="39" t="s">
        <v>201</v>
      </c>
      <c r="G71" s="39" t="s">
        <v>194</v>
      </c>
      <c r="H71" s="39"/>
      <c r="I71" s="39"/>
      <c r="J71" s="43">
        <f>MARVEL_Cost!C37+MARVEL_Cost!C36</f>
        <v>3369444.6</v>
      </c>
      <c r="K71" s="61">
        <f>(MARVEL_Cost!C35)/N71</f>
        <v>1768.3558139534885</v>
      </c>
      <c r="L71" s="49" t="s">
        <v>186</v>
      </c>
      <c r="M71" s="59" t="s">
        <v>202</v>
      </c>
      <c r="N71" s="49">
        <f>1000*'Design Variables'!B49</f>
        <v>860</v>
      </c>
      <c r="O71" s="49"/>
      <c r="P71" s="49"/>
      <c r="Q71" s="66">
        <v>2017</v>
      </c>
      <c r="R71" s="49" t="s">
        <v>86</v>
      </c>
      <c r="S71" s="59" t="s">
        <v>196</v>
      </c>
      <c r="T71" s="142"/>
      <c r="U71" s="56"/>
      <c r="V71" s="59" t="s">
        <v>203</v>
      </c>
      <c r="W71" s="77" t="s">
        <v>191</v>
      </c>
      <c r="X71" s="80">
        <f t="shared" si="5"/>
        <v>3032500.14</v>
      </c>
      <c r="Y71" s="80">
        <f t="shared" si="6"/>
        <v>5054166.9000000004</v>
      </c>
      <c r="Z71" s="77" t="s">
        <v>44</v>
      </c>
      <c r="AA71" s="79">
        <f t="shared" si="7"/>
        <v>1591.5202325581397</v>
      </c>
      <c r="AB71" s="79">
        <f t="shared" si="8"/>
        <v>2298.8625581395349</v>
      </c>
      <c r="AC71" s="77" t="s">
        <v>44</v>
      </c>
      <c r="AD71" s="79" t="s">
        <v>45</v>
      </c>
      <c r="AE71" s="79" t="s">
        <v>46</v>
      </c>
      <c r="AF71" s="79" t="s">
        <v>47</v>
      </c>
      <c r="AG71" s="77" t="s">
        <v>48</v>
      </c>
    </row>
    <row r="72" spans="1:33" ht="30" customHeight="1" x14ac:dyDescent="0.2">
      <c r="A72" s="53">
        <v>221.13</v>
      </c>
      <c r="B72" s="38">
        <f>IF(ISNUMBER(A72),
IF(AND(A72=INT(A72), MOD(A72, 10) = 0), 0,
IF(AND(A72=INT(A72), LEN(A72)=2), 1,
IF(AND(A72=INT(A72), LEN(A72)=3), 2,
LEN(A72) - FIND(".", A72) + 2)
)
),
"")</f>
        <v>4</v>
      </c>
      <c r="C72" s="56" t="s">
        <v>200</v>
      </c>
      <c r="D72" s="39" t="str">
        <f t="shared" si="4"/>
        <v xml:space="preserve">                        Inner Vessel Structure</v>
      </c>
      <c r="E72" s="39" t="s">
        <v>35</v>
      </c>
      <c r="F72" s="39" t="s">
        <v>201</v>
      </c>
      <c r="G72" s="39" t="s">
        <v>198</v>
      </c>
      <c r="H72" s="39"/>
      <c r="I72" s="39"/>
      <c r="J72" s="43"/>
      <c r="K72" s="61">
        <v>154.08000000000001</v>
      </c>
      <c r="L72" s="49" t="s">
        <v>186</v>
      </c>
      <c r="M72" s="59" t="s">
        <v>202</v>
      </c>
      <c r="N72" s="49"/>
      <c r="O72" s="49"/>
      <c r="P72" s="49"/>
      <c r="Q72" s="66">
        <v>2017</v>
      </c>
      <c r="R72" s="49" t="s">
        <v>86</v>
      </c>
      <c r="S72" s="59" t="s">
        <v>196</v>
      </c>
      <c r="T72" s="142"/>
      <c r="U72" s="56"/>
      <c r="V72" s="59"/>
      <c r="W72" s="77" t="s">
        <v>191</v>
      </c>
      <c r="X72" s="80">
        <f t="shared" si="5"/>
        <v>0</v>
      </c>
      <c r="Y72" s="80">
        <f t="shared" si="6"/>
        <v>0</v>
      </c>
      <c r="Z72" s="77" t="s">
        <v>44</v>
      </c>
      <c r="AA72" s="79">
        <f t="shared" si="7"/>
        <v>138.67200000000003</v>
      </c>
      <c r="AB72" s="79">
        <f t="shared" si="8"/>
        <v>200.30400000000003</v>
      </c>
      <c r="AC72" s="77" t="s">
        <v>44</v>
      </c>
      <c r="AD72" s="79" t="s">
        <v>45</v>
      </c>
      <c r="AE72" s="79" t="s">
        <v>46</v>
      </c>
      <c r="AF72" s="79" t="s">
        <v>47</v>
      </c>
      <c r="AG72" s="77" t="s">
        <v>48</v>
      </c>
    </row>
    <row r="73" spans="1:33" ht="30" customHeight="1" x14ac:dyDescent="0.2">
      <c r="A73" s="53">
        <v>221.13</v>
      </c>
      <c r="B73" s="38">
        <f>IF(ISNUMBER(A73),
    IF(AND(A73=INT(A73), MOD(A73, 10) = 0), 0,
        IF(AND(A73=INT(A73), LEN(A73)=2), 1,
            IF(AND(A73=INT(A73), LEN(A73)=3), 2,
                LEN(A73) - FIND(".", A73) + 2)
        )
    ),
"")</f>
        <v>4</v>
      </c>
      <c r="C73" s="56" t="s">
        <v>200</v>
      </c>
      <c r="D73" s="39" t="str">
        <f t="shared" si="4"/>
        <v xml:space="preserve">                        Inner Vessel Structure</v>
      </c>
      <c r="E73" s="39" t="s">
        <v>35</v>
      </c>
      <c r="F73" s="39" t="s">
        <v>201</v>
      </c>
      <c r="G73" s="39" t="s">
        <v>199</v>
      </c>
      <c r="H73" s="39"/>
      <c r="I73" s="39"/>
      <c r="J73" s="43"/>
      <c r="K73" s="61">
        <v>444.08</v>
      </c>
      <c r="L73" s="49" t="s">
        <v>186</v>
      </c>
      <c r="M73" s="59" t="s">
        <v>202</v>
      </c>
      <c r="N73" s="49"/>
      <c r="O73" s="49"/>
      <c r="P73" s="49"/>
      <c r="Q73" s="66">
        <v>2017</v>
      </c>
      <c r="R73" s="49" t="s">
        <v>86</v>
      </c>
      <c r="S73" s="59" t="s">
        <v>196</v>
      </c>
      <c r="T73" s="143"/>
      <c r="U73" s="56"/>
      <c r="V73" s="59"/>
      <c r="W73" s="77" t="s">
        <v>191</v>
      </c>
      <c r="X73" s="80">
        <f t="shared" si="5"/>
        <v>0</v>
      </c>
      <c r="Y73" s="80">
        <f t="shared" si="6"/>
        <v>0</v>
      </c>
      <c r="Z73" s="77" t="s">
        <v>44</v>
      </c>
      <c r="AA73" s="79">
        <f t="shared" si="7"/>
        <v>399.67199999999997</v>
      </c>
      <c r="AB73" s="79">
        <f t="shared" si="8"/>
        <v>577.30399999999997</v>
      </c>
      <c r="AC73" s="77" t="s">
        <v>44</v>
      </c>
      <c r="AD73" s="79" t="s">
        <v>45</v>
      </c>
      <c r="AE73" s="79" t="s">
        <v>46</v>
      </c>
      <c r="AF73" s="79" t="s">
        <v>47</v>
      </c>
      <c r="AG73" s="77" t="s">
        <v>48</v>
      </c>
    </row>
    <row r="74" spans="1:33" ht="30" customHeight="1" x14ac:dyDescent="0.2">
      <c r="A74" s="53">
        <v>221.2</v>
      </c>
      <c r="B74" s="38">
        <f>IF(ISNUMBER(A74),
IF(AND(A74=INT(A74), MOD(A74, 10) = 0), 0,
IF(AND(A74=INT(A74), LEN(A74)=2), 1,
IF(AND(A74=INT(A74), LEN(A74)=3), 2,
LEN(A74) - FIND(".", A74) + 2)
)
),
"")</f>
        <v>3</v>
      </c>
      <c r="C74" s="56" t="s">
        <v>204</v>
      </c>
      <c r="D74" s="39" t="str">
        <f t="shared" si="4"/>
        <v xml:space="preserve">                  Reactor Control Devices</v>
      </c>
      <c r="E74" s="39"/>
      <c r="F74" s="39"/>
      <c r="G74" s="39"/>
      <c r="H74" s="39"/>
      <c r="I74" s="39"/>
      <c r="J74" s="43"/>
      <c r="K74" s="61"/>
      <c r="L74" s="49"/>
      <c r="M74" s="59"/>
      <c r="N74" s="49"/>
      <c r="O74" s="49"/>
      <c r="P74" s="49"/>
      <c r="Q74" s="66"/>
      <c r="R74" s="49"/>
      <c r="S74" s="59"/>
      <c r="T74" s="49"/>
      <c r="U74" s="49"/>
      <c r="V74" s="49"/>
      <c r="W74" s="77"/>
      <c r="X74" s="80"/>
      <c r="Y74" s="80"/>
      <c r="Z74" s="77"/>
      <c r="AA74" s="79"/>
      <c r="AB74" s="79"/>
      <c r="AC74" s="77"/>
      <c r="AD74" s="79"/>
      <c r="AE74" s="79"/>
      <c r="AF74" s="79"/>
      <c r="AG74" s="77"/>
    </row>
    <row r="75" spans="1:33" ht="30" customHeight="1" x14ac:dyDescent="0.2">
      <c r="A75" s="53">
        <v>221.21</v>
      </c>
      <c r="B75" s="38">
        <f>IF(ISNUMBER(A75),
IF(AND(A75=INT(A75), MOD(A75, 10) = 0), 0,
IF(AND(A75=INT(A75), LEN(A75)=2), 1,
IF(AND(A75=INT(A75), LEN(A75)=3), 2,
LEN(A75) - FIND(".", A75) + 2)
)
),
"")</f>
        <v>4</v>
      </c>
      <c r="C75" s="56" t="s">
        <v>205</v>
      </c>
      <c r="D75" s="39" t="str">
        <f t="shared" si="4"/>
        <v xml:space="preserve">                        Reactivity Control System </v>
      </c>
      <c r="E75" s="39"/>
      <c r="F75" s="39"/>
      <c r="G75" s="39"/>
      <c r="H75" s="39"/>
      <c r="I75" s="39"/>
      <c r="J75" s="43"/>
      <c r="K75" s="61"/>
      <c r="L75" s="49"/>
      <c r="M75" s="59"/>
      <c r="N75" s="49"/>
      <c r="O75" s="49"/>
      <c r="P75" s="49"/>
      <c r="Q75" s="66"/>
      <c r="R75" s="49"/>
      <c r="S75" s="59"/>
      <c r="T75" s="49"/>
      <c r="U75" s="49"/>
      <c r="V75" s="49"/>
      <c r="W75" s="77"/>
      <c r="X75" s="80"/>
      <c r="Y75" s="80"/>
      <c r="Z75" s="77"/>
      <c r="AA75" s="79"/>
      <c r="AB75" s="79"/>
      <c r="AC75" s="77"/>
      <c r="AD75" s="79"/>
      <c r="AE75" s="79"/>
      <c r="AF75" s="79"/>
      <c r="AG75" s="77"/>
    </row>
    <row r="76" spans="1:33" s="33" customFormat="1" ht="42" customHeight="1" x14ac:dyDescent="0.15">
      <c r="A76" s="53">
        <v>221.21100000000001</v>
      </c>
      <c r="B76" s="38">
        <f>IF(ISNUMBER(A76),
IF(AND(A76=INT(A76), MOD(A76, 10) = 0), 0,
IF(AND(A76=INT(A76), LEN(A76)=2), 1,
IF(AND(A76=INT(A76), LEN(A76)=3), 2,
LEN(A76) - FIND(".", A76) + 2)
)
),
"")</f>
        <v>5</v>
      </c>
      <c r="C76" s="56" t="s">
        <v>206</v>
      </c>
      <c r="D76" s="39" t="str">
        <f t="shared" si="4"/>
        <v xml:space="preserve">                              Reactivity Control System Fabrication</v>
      </c>
      <c r="E76" s="39" t="s">
        <v>35</v>
      </c>
      <c r="F76" s="39"/>
      <c r="G76" s="39"/>
      <c r="H76" s="39"/>
      <c r="I76" s="39"/>
      <c r="J76" s="43"/>
      <c r="K76" s="61">
        <f>MARVEL_Cost!C21/'Design Variables'!B21</f>
        <v>347890</v>
      </c>
      <c r="L76" s="49" t="s">
        <v>207</v>
      </c>
      <c r="M76" s="59" t="s">
        <v>208</v>
      </c>
      <c r="N76" s="49"/>
      <c r="O76" s="49"/>
      <c r="P76" s="49"/>
      <c r="Q76" s="66">
        <v>2024</v>
      </c>
      <c r="R76" s="49" t="s">
        <v>86</v>
      </c>
      <c r="S76" s="59" t="s">
        <v>209</v>
      </c>
      <c r="T76" s="144" t="s">
        <v>210</v>
      </c>
      <c r="U76" s="150" t="s">
        <v>211</v>
      </c>
      <c r="V76" s="59" t="s">
        <v>212</v>
      </c>
      <c r="W76" s="77" t="s">
        <v>213</v>
      </c>
      <c r="X76" s="80">
        <f t="shared" ref="X76:X83" si="9">0.9*$J76</f>
        <v>0</v>
      </c>
      <c r="Y76" s="80">
        <f t="shared" ref="Y76:Y83" si="10">1.5*J76</f>
        <v>0</v>
      </c>
      <c r="Z76" s="77" t="s">
        <v>44</v>
      </c>
      <c r="AA76" s="79">
        <f t="shared" ref="AA76:AA83" si="11">0.9*K76</f>
        <v>313101</v>
      </c>
      <c r="AB76" s="79">
        <f t="shared" ref="AB76:AB83" si="12">1.3*K76</f>
        <v>452257</v>
      </c>
      <c r="AC76" s="77" t="s">
        <v>44</v>
      </c>
      <c r="AD76" s="79" t="s">
        <v>45</v>
      </c>
      <c r="AE76" s="79" t="s">
        <v>46</v>
      </c>
      <c r="AF76" s="79" t="s">
        <v>47</v>
      </c>
      <c r="AG76" s="77" t="s">
        <v>48</v>
      </c>
    </row>
    <row r="77" spans="1:33" s="33" customFormat="1" x14ac:dyDescent="0.15">
      <c r="A77" s="53">
        <v>221.21199999999999</v>
      </c>
      <c r="B77" s="38">
        <f>IF(ISNUMBER(A77),
IF(AND(A77=INT(A77), MOD(A77, 10) = 0), 0,
IF(AND(A77=INT(A77), LEN(A77)=2), 1,
IF(AND(A77=INT(A77), LEN(A77)=3), 2,
LEN(A77) - FIND(".", A77) + 2)
)
),
"")</f>
        <v>5</v>
      </c>
      <c r="C77" s="56" t="s">
        <v>214</v>
      </c>
      <c r="D77" s="39" t="str">
        <f t="shared" si="4"/>
        <v xml:space="preserve">                              Installation</v>
      </c>
      <c r="E77" s="39" t="s">
        <v>35</v>
      </c>
      <c r="F77" s="39"/>
      <c r="G77" s="39"/>
      <c r="H77" s="39"/>
      <c r="I77" s="39"/>
      <c r="J77" s="43"/>
      <c r="K77" s="61">
        <f>MARVEL_Cost!C22/'Design Variables'!B21</f>
        <v>80665.75</v>
      </c>
      <c r="L77" s="49" t="s">
        <v>207</v>
      </c>
      <c r="M77" s="59" t="s">
        <v>208</v>
      </c>
      <c r="N77" s="49"/>
      <c r="O77" s="49"/>
      <c r="P77" s="49"/>
      <c r="Q77" s="66">
        <v>2024</v>
      </c>
      <c r="R77" s="73" t="s">
        <v>73</v>
      </c>
      <c r="S77" s="59" t="s">
        <v>209</v>
      </c>
      <c r="T77" s="142"/>
      <c r="U77" s="142"/>
      <c r="V77" s="49"/>
      <c r="W77" s="77" t="s">
        <v>213</v>
      </c>
      <c r="X77" s="80">
        <f t="shared" si="9"/>
        <v>0</v>
      </c>
      <c r="Y77" s="80">
        <f t="shared" si="10"/>
        <v>0</v>
      </c>
      <c r="Z77" s="77" t="s">
        <v>44</v>
      </c>
      <c r="AA77" s="79">
        <f t="shared" si="11"/>
        <v>72599.175000000003</v>
      </c>
      <c r="AB77" s="79">
        <f t="shared" si="12"/>
        <v>104865.47500000001</v>
      </c>
      <c r="AC77" s="77" t="s">
        <v>44</v>
      </c>
      <c r="AD77" s="79" t="s">
        <v>45</v>
      </c>
      <c r="AE77" s="79" t="s">
        <v>46</v>
      </c>
      <c r="AF77" s="79" t="s">
        <v>47</v>
      </c>
      <c r="AG77" s="77" t="s">
        <v>48</v>
      </c>
    </row>
    <row r="78" spans="1:33" s="33" customFormat="1" ht="30" customHeight="1" x14ac:dyDescent="0.15">
      <c r="A78" s="53">
        <v>221.21299999999999</v>
      </c>
      <c r="B78" s="38">
        <f>IF(ISNUMBER(A78),
IF(AND(A78=INT(A78), MOD(A78, 10) = 0), 0,
IF(AND(A78=INT(A78), LEN(A78)=2), 1,
IF(AND(A78=INT(A78), LEN(A78)=3), 2,
LEN(A78) - FIND(".", A78) + 2)
)
),
"")</f>
        <v>5</v>
      </c>
      <c r="C78" s="56" t="s">
        <v>215</v>
      </c>
      <c r="D78" s="39" t="str">
        <f t="shared" si="4"/>
        <v xml:space="preserve">                              Control Drums Materials (Absorber)</v>
      </c>
      <c r="E78" s="39" t="s">
        <v>35</v>
      </c>
      <c r="F78" s="39" t="s">
        <v>216</v>
      </c>
      <c r="G78" s="39" t="s">
        <v>217</v>
      </c>
      <c r="H78" s="39"/>
      <c r="I78" s="39"/>
      <c r="J78" s="43"/>
      <c r="K78" s="61">
        <f>400000/N78</f>
        <v>14285.714285714286</v>
      </c>
      <c r="L78" s="49" t="s">
        <v>186</v>
      </c>
      <c r="M78" s="59" t="s">
        <v>218</v>
      </c>
      <c r="N78" s="49">
        <f>'Design Variables'!B28+'Design Variables'!B29</f>
        <v>28</v>
      </c>
      <c r="O78" s="49" t="s">
        <v>188</v>
      </c>
      <c r="P78" s="49">
        <v>1</v>
      </c>
      <c r="Q78" s="66">
        <v>2024</v>
      </c>
      <c r="R78" s="49" t="s">
        <v>219</v>
      </c>
      <c r="S78" s="59" t="s">
        <v>209</v>
      </c>
      <c r="T78" s="142"/>
      <c r="U78" s="142"/>
      <c r="V78" s="49"/>
      <c r="W78" s="77" t="s">
        <v>157</v>
      </c>
      <c r="X78" s="80">
        <f t="shared" si="9"/>
        <v>0</v>
      </c>
      <c r="Y78" s="80">
        <f t="shared" si="10"/>
        <v>0</v>
      </c>
      <c r="Z78" s="77" t="s">
        <v>44</v>
      </c>
      <c r="AA78" s="79">
        <f t="shared" si="11"/>
        <v>12857.142857142859</v>
      </c>
      <c r="AB78" s="79">
        <f t="shared" si="12"/>
        <v>18571.428571428572</v>
      </c>
      <c r="AC78" s="77" t="s">
        <v>44</v>
      </c>
      <c r="AD78" s="79" t="s">
        <v>45</v>
      </c>
      <c r="AE78" s="79" t="s">
        <v>46</v>
      </c>
      <c r="AF78" s="79" t="s">
        <v>47</v>
      </c>
      <c r="AG78" s="77" t="s">
        <v>48</v>
      </c>
    </row>
    <row r="79" spans="1:33" s="33" customFormat="1" ht="30" customHeight="1" x14ac:dyDescent="0.15">
      <c r="A79" s="53">
        <v>221.21299999999999</v>
      </c>
      <c r="B79" s="38">
        <f>IF(ISNUMBER(A79),
    IF(AND(A79=INT(A79), MOD(A79, 10) = 0), 0,
        IF(AND(A79=INT(A79), LEN(A79)=2), 1,
            IF(AND(A79=INT(A79), LEN(A79)=3), 2,
                LEN(A79) - FIND(".", A79) + 2)
        )
    ),
"")</f>
        <v>5</v>
      </c>
      <c r="C79" s="56" t="s">
        <v>215</v>
      </c>
      <c r="D79" s="39" t="str">
        <f t="shared" si="4"/>
        <v xml:space="preserve">                              Control Drums Materials (Absorber)</v>
      </c>
      <c r="E79" s="39" t="s">
        <v>35</v>
      </c>
      <c r="F79" s="39" t="s">
        <v>216</v>
      </c>
      <c r="G79" s="39" t="s">
        <v>220</v>
      </c>
      <c r="H79" s="39"/>
      <c r="I79" s="39"/>
      <c r="J79" s="43"/>
      <c r="K79" s="61">
        <v>10064</v>
      </c>
      <c r="L79" s="49" t="s">
        <v>186</v>
      </c>
      <c r="M79" s="59" t="s">
        <v>218</v>
      </c>
      <c r="N79" s="49"/>
      <c r="O79" s="49"/>
      <c r="P79" s="49"/>
      <c r="Q79" s="66">
        <v>2023</v>
      </c>
      <c r="R79" s="49" t="s">
        <v>219</v>
      </c>
      <c r="S79" s="59" t="s">
        <v>221</v>
      </c>
      <c r="T79" s="142"/>
      <c r="U79" s="142"/>
      <c r="V79" s="49"/>
      <c r="W79" s="77" t="s">
        <v>157</v>
      </c>
      <c r="X79" s="80">
        <f t="shared" si="9"/>
        <v>0</v>
      </c>
      <c r="Y79" s="80">
        <f t="shared" si="10"/>
        <v>0</v>
      </c>
      <c r="Z79" s="77" t="s">
        <v>44</v>
      </c>
      <c r="AA79" s="79">
        <f t="shared" si="11"/>
        <v>9057.6</v>
      </c>
      <c r="AB79" s="79">
        <f t="shared" si="12"/>
        <v>13083.2</v>
      </c>
      <c r="AC79" s="77" t="s">
        <v>44</v>
      </c>
      <c r="AD79" s="79" t="s">
        <v>45</v>
      </c>
      <c r="AE79" s="79" t="s">
        <v>46</v>
      </c>
      <c r="AF79" s="79" t="s">
        <v>47</v>
      </c>
      <c r="AG79" s="77" t="s">
        <v>48</v>
      </c>
    </row>
    <row r="80" spans="1:33" s="33" customFormat="1" ht="30" customHeight="1" x14ac:dyDescent="0.15">
      <c r="A80" s="53">
        <v>221.214</v>
      </c>
      <c r="B80" s="38">
        <f>IF(ISNUMBER(A80),
IF(AND(A80=INT(A80), MOD(A80, 10) = 0), 0,
IF(AND(A80=INT(A80), LEN(A80)=2), 1,
IF(AND(A80=INT(A80), LEN(A80)=3), 2,
LEN(A80) - FIND(".", A80) + 2)
)
),
"")</f>
        <v>5</v>
      </c>
      <c r="C80" s="56" t="s">
        <v>222</v>
      </c>
      <c r="D80" s="39" t="str">
        <f t="shared" si="4"/>
        <v xml:space="preserve">                              Control Drums Materials (Reflector)</v>
      </c>
      <c r="E80" s="39" t="s">
        <v>35</v>
      </c>
      <c r="F80" s="39" t="s">
        <v>223</v>
      </c>
      <c r="G80" s="39" t="s">
        <v>224</v>
      </c>
      <c r="H80" s="39"/>
      <c r="I80" s="39"/>
      <c r="J80" s="43"/>
      <c r="K80" s="64">
        <f>MARVEL_Cost!C27/N80</f>
        <v>10062.893081761007</v>
      </c>
      <c r="L80" s="49" t="s">
        <v>186</v>
      </c>
      <c r="M80" s="59" t="s">
        <v>225</v>
      </c>
      <c r="N80" s="49">
        <f>'Design Variables'!B17</f>
        <v>318</v>
      </c>
      <c r="O80" s="49" t="s">
        <v>188</v>
      </c>
      <c r="P80" s="49">
        <v>1</v>
      </c>
      <c r="Q80" s="66">
        <v>2024</v>
      </c>
      <c r="R80" s="49" t="s">
        <v>219</v>
      </c>
      <c r="S80" s="59" t="s">
        <v>209</v>
      </c>
      <c r="T80" s="143"/>
      <c r="U80" s="143"/>
      <c r="V80" s="49"/>
      <c r="W80" s="77" t="s">
        <v>226</v>
      </c>
      <c r="X80" s="80">
        <f t="shared" si="9"/>
        <v>0</v>
      </c>
      <c r="Y80" s="80">
        <f t="shared" si="10"/>
        <v>0</v>
      </c>
      <c r="Z80" s="77" t="s">
        <v>44</v>
      </c>
      <c r="AA80" s="79">
        <f t="shared" si="11"/>
        <v>9056.6037735849059</v>
      </c>
      <c r="AB80" s="79">
        <f t="shared" si="12"/>
        <v>13081.761006289309</v>
      </c>
      <c r="AC80" s="77" t="s">
        <v>44</v>
      </c>
      <c r="AD80" s="79" t="s">
        <v>45</v>
      </c>
      <c r="AE80" s="79" t="s">
        <v>46</v>
      </c>
      <c r="AF80" s="79" t="s">
        <v>47</v>
      </c>
      <c r="AG80" s="77" t="s">
        <v>48</v>
      </c>
    </row>
    <row r="81" spans="1:36" s="33" customFormat="1" ht="30" customHeight="1" x14ac:dyDescent="0.15">
      <c r="A81" s="53">
        <v>221.214</v>
      </c>
      <c r="B81" s="38">
        <f>IF(ISNUMBER(A81),
IF(AND(A81=INT(A81), MOD(A81, 10) = 0), 0,
IF(AND(A81=INT(A81), LEN(A81)=2), 1,
IF(AND(A81=INT(A81), LEN(A81)=3), 2,
LEN(A81) - FIND(".", A81) + 2)
)
),
"")</f>
        <v>5</v>
      </c>
      <c r="C81" s="74" t="s">
        <v>222</v>
      </c>
      <c r="D81" s="39" t="str">
        <f t="shared" si="4"/>
        <v xml:space="preserve">                              Control Drums Materials (Reflector)</v>
      </c>
      <c r="E81" s="39" t="s">
        <v>35</v>
      </c>
      <c r="F81" s="39" t="s">
        <v>223</v>
      </c>
      <c r="G81" s="39" t="s">
        <v>227</v>
      </c>
      <c r="H81" s="39"/>
      <c r="I81" s="39"/>
      <c r="J81" s="46"/>
      <c r="K81" s="64">
        <f>MARVEL_Cost!C28/N81</f>
        <v>44736.84210526316</v>
      </c>
      <c r="L81" s="49" t="s">
        <v>186</v>
      </c>
      <c r="M81" s="59" t="s">
        <v>225</v>
      </c>
      <c r="N81" s="49">
        <f>1000*'Design Variables'!B19</f>
        <v>19</v>
      </c>
      <c r="O81" s="49" t="s">
        <v>188</v>
      </c>
      <c r="P81" s="49">
        <v>1</v>
      </c>
      <c r="Q81" s="66">
        <v>2024</v>
      </c>
      <c r="R81" s="49" t="s">
        <v>219</v>
      </c>
      <c r="S81" s="59" t="s">
        <v>209</v>
      </c>
      <c r="T81" s="78"/>
      <c r="U81" s="65"/>
      <c r="V81" s="49"/>
      <c r="W81" s="77" t="s">
        <v>228</v>
      </c>
      <c r="X81" s="80">
        <f t="shared" si="9"/>
        <v>0</v>
      </c>
      <c r="Y81" s="80">
        <f t="shared" si="10"/>
        <v>0</v>
      </c>
      <c r="Z81" s="77" t="s">
        <v>44</v>
      </c>
      <c r="AA81" s="79">
        <f t="shared" si="11"/>
        <v>40263.157894736847</v>
      </c>
      <c r="AB81" s="79">
        <f t="shared" si="12"/>
        <v>58157.894736842107</v>
      </c>
      <c r="AC81" s="77" t="s">
        <v>44</v>
      </c>
      <c r="AD81" s="79" t="s">
        <v>45</v>
      </c>
      <c r="AE81" s="79" t="s">
        <v>46</v>
      </c>
      <c r="AF81" s="79" t="s">
        <v>47</v>
      </c>
      <c r="AG81" s="77" t="s">
        <v>48</v>
      </c>
      <c r="AJ81" s="36"/>
    </row>
    <row r="82" spans="1:36" s="33" customFormat="1" ht="30" customHeight="1" x14ac:dyDescent="0.15">
      <c r="A82" s="53">
        <v>221.214</v>
      </c>
      <c r="B82" s="38">
        <f>IF(ISNUMBER(A82),
    IF(AND(A82=INT(A82), MOD(A82, 10) = 0), 0,
        IF(AND(A82=INT(A82), LEN(A82)=2), 1,
            IF(AND(A82=INT(A82), LEN(A82)=3), 2,
                LEN(A82) - FIND(".", A82) + 2)
        )
    ),
"")</f>
        <v>5</v>
      </c>
      <c r="C82" s="56" t="s">
        <v>222</v>
      </c>
      <c r="D82" s="39" t="str">
        <f t="shared" si="4"/>
        <v xml:space="preserve">                              Control Drums Materials (Reflector)</v>
      </c>
      <c r="E82" s="39" t="s">
        <v>35</v>
      </c>
      <c r="F82" s="39" t="s">
        <v>223</v>
      </c>
      <c r="G82" s="39" t="s">
        <v>229</v>
      </c>
      <c r="H82" s="39"/>
      <c r="I82" s="39"/>
      <c r="J82" s="43"/>
      <c r="K82" s="64">
        <v>80</v>
      </c>
      <c r="L82" s="49" t="s">
        <v>186</v>
      </c>
      <c r="M82" s="59" t="s">
        <v>225</v>
      </c>
      <c r="N82" s="49"/>
      <c r="O82" s="49"/>
      <c r="P82" s="49"/>
      <c r="Q82" s="66">
        <v>2022</v>
      </c>
      <c r="R82" s="49" t="s">
        <v>219</v>
      </c>
      <c r="S82" s="59" t="s">
        <v>230</v>
      </c>
      <c r="T82" s="63" t="s">
        <v>231</v>
      </c>
      <c r="U82" s="65"/>
      <c r="V82" s="49"/>
      <c r="W82" s="77" t="s">
        <v>157</v>
      </c>
      <c r="X82" s="80">
        <f t="shared" si="9"/>
        <v>0</v>
      </c>
      <c r="Y82" s="80">
        <f t="shared" si="10"/>
        <v>0</v>
      </c>
      <c r="Z82" s="77" t="s">
        <v>44</v>
      </c>
      <c r="AA82" s="79">
        <f t="shared" si="11"/>
        <v>72</v>
      </c>
      <c r="AB82" s="79">
        <f t="shared" si="12"/>
        <v>104</v>
      </c>
      <c r="AC82" s="77" t="s">
        <v>44</v>
      </c>
      <c r="AD82" s="79" t="s">
        <v>45</v>
      </c>
      <c r="AE82" s="79" t="s">
        <v>46</v>
      </c>
      <c r="AF82" s="79" t="s">
        <v>47</v>
      </c>
      <c r="AG82" s="77" t="s">
        <v>48</v>
      </c>
    </row>
    <row r="83" spans="1:36" s="33" customFormat="1" ht="30" customHeight="1" x14ac:dyDescent="0.15">
      <c r="A83" s="53">
        <v>221.215</v>
      </c>
      <c r="B83" s="38">
        <f>IF(ISNUMBER(A83),
IF(AND(A83=INT(A83), MOD(A83, 10) = 0), 0,
IF(AND(A83=INT(A83), LEN(A83)=2), 1,
IF(AND(A83=INT(A83), LEN(A83)=3), 2,
LEN(A83) - FIND(".", A83) + 2)
)
),
"")</f>
        <v>5</v>
      </c>
      <c r="C83" s="56" t="s">
        <v>232</v>
      </c>
      <c r="D83" s="39" t="str">
        <f t="shared" si="4"/>
        <v xml:space="preserve">                              Control System Drive Mechanism</v>
      </c>
      <c r="E83" s="39" t="s">
        <v>35</v>
      </c>
      <c r="F83" s="39"/>
      <c r="G83" s="39"/>
      <c r="H83" s="39"/>
      <c r="I83" s="39"/>
      <c r="J83" s="43"/>
      <c r="K83" s="61">
        <v>74759</v>
      </c>
      <c r="L83" s="49" t="s">
        <v>207</v>
      </c>
      <c r="M83" s="59" t="s">
        <v>208</v>
      </c>
      <c r="N83" s="49"/>
      <c r="O83" s="49"/>
      <c r="P83" s="49"/>
      <c r="Q83" s="66">
        <v>2023</v>
      </c>
      <c r="R83" s="49" t="s">
        <v>86</v>
      </c>
      <c r="S83" s="59" t="s">
        <v>221</v>
      </c>
      <c r="T83" s="63" t="s">
        <v>233</v>
      </c>
      <c r="U83" s="65"/>
      <c r="V83" s="49" t="s">
        <v>234</v>
      </c>
      <c r="W83" s="77" t="s">
        <v>213</v>
      </c>
      <c r="X83" s="80">
        <f t="shared" si="9"/>
        <v>0</v>
      </c>
      <c r="Y83" s="80">
        <f t="shared" si="10"/>
        <v>0</v>
      </c>
      <c r="Z83" s="77" t="s">
        <v>44</v>
      </c>
      <c r="AA83" s="79">
        <f t="shared" si="11"/>
        <v>67283.100000000006</v>
      </c>
      <c r="AB83" s="79">
        <f t="shared" si="12"/>
        <v>97186.7</v>
      </c>
      <c r="AC83" s="77" t="s">
        <v>44</v>
      </c>
      <c r="AD83" s="79" t="s">
        <v>45</v>
      </c>
      <c r="AE83" s="79" t="s">
        <v>46</v>
      </c>
      <c r="AF83" s="79" t="s">
        <v>47</v>
      </c>
      <c r="AG83" s="77" t="s">
        <v>48</v>
      </c>
    </row>
    <row r="84" spans="1:36" ht="15" customHeight="1" x14ac:dyDescent="0.2">
      <c r="A84" s="53">
        <v>221.3</v>
      </c>
      <c r="B84" s="38">
        <f>IF(ISNUMBER(A84),
IF(AND(A84=INT(A84), MOD(A84, 10) = 0), 0,
IF(AND(A84=INT(A84), LEN(A84)=2), 1,
IF(AND(A84=INT(A84), LEN(A84)=3), 2,
LEN(A84) - FIND(".", A84) + 2)
)
),
"")</f>
        <v>3</v>
      </c>
      <c r="C84" s="56" t="s">
        <v>235</v>
      </c>
      <c r="D84" s="39" t="str">
        <f t="shared" si="4"/>
        <v xml:space="preserve">                  Non-Fuel Core Internals</v>
      </c>
      <c r="E84" s="39" t="s">
        <v>35</v>
      </c>
      <c r="F84" s="39"/>
      <c r="G84" s="39"/>
      <c r="H84" s="39"/>
      <c r="I84" s="39"/>
      <c r="J84" s="43"/>
      <c r="K84" s="61"/>
      <c r="L84" s="49"/>
      <c r="M84" s="49"/>
      <c r="N84" s="49"/>
      <c r="O84" s="49"/>
      <c r="P84" s="49"/>
      <c r="Q84" s="66"/>
      <c r="R84" s="49"/>
      <c r="S84" s="59"/>
      <c r="T84" s="49"/>
      <c r="U84" s="49"/>
      <c r="V84" s="49"/>
      <c r="W84" s="77"/>
      <c r="X84" s="80"/>
      <c r="Y84" s="80"/>
      <c r="Z84" s="77"/>
      <c r="AA84" s="79"/>
      <c r="AB84" s="79"/>
      <c r="AC84" s="77"/>
      <c r="AD84" s="79"/>
      <c r="AE84" s="79"/>
      <c r="AF84" s="79"/>
      <c r="AG84" s="77"/>
    </row>
    <row r="85" spans="1:36" ht="14.5" customHeight="1" x14ac:dyDescent="0.2">
      <c r="A85" s="53">
        <v>221.31</v>
      </c>
      <c r="B85" s="38">
        <f>IF(ISNUMBER(A85),
    IF(AND(A85=INT(A85), MOD(A85, 10) = 0), 0,
        IF(AND(A85=INT(A85), LEN(A85)=2), 1,
            IF(AND(A85=INT(A85), LEN(A85)=3), 2,
                LEN(A85) - FIND(".", A85) + 2)
        )
    ),
"")</f>
        <v>4</v>
      </c>
      <c r="C85" s="56" t="s">
        <v>236</v>
      </c>
      <c r="D85" s="39" t="str">
        <f t="shared" si="4"/>
        <v xml:space="preserve">                        Reflector</v>
      </c>
      <c r="E85" s="39"/>
      <c r="F85" s="39"/>
      <c r="G85" s="39"/>
      <c r="H85" s="39"/>
      <c r="I85" s="39"/>
      <c r="J85" s="43"/>
      <c r="K85" s="64"/>
      <c r="L85" s="49"/>
      <c r="M85" s="59"/>
      <c r="N85" s="49"/>
      <c r="O85" s="49"/>
      <c r="P85" s="49"/>
      <c r="Q85" s="66"/>
      <c r="R85" s="49"/>
      <c r="S85" s="59"/>
      <c r="T85" s="59"/>
      <c r="U85" s="49"/>
      <c r="V85" s="49"/>
      <c r="W85" s="77"/>
      <c r="X85" s="80"/>
      <c r="Y85" s="80"/>
      <c r="Z85" s="77"/>
      <c r="AA85" s="79"/>
      <c r="AB85" s="79"/>
      <c r="AC85" s="77"/>
      <c r="AD85" s="79"/>
      <c r="AE85" s="79"/>
      <c r="AF85" s="79"/>
      <c r="AG85" s="77"/>
    </row>
    <row r="86" spans="1:36" ht="14.5" customHeight="1" x14ac:dyDescent="0.2">
      <c r="A86" s="53">
        <v>221.31100000000001</v>
      </c>
      <c r="B86" s="38">
        <f>IF(ISNUMBER(A86),
IF(AND(A86=INT(A86), MOD(A86, 10) = 0), 0,
IF(AND(A86=INT(A86), LEN(A86)=2), 1,
IF(AND(A86=INT(A86), LEN(A86)=3), 2,
LEN(A86) - FIND(".", A86) + 2)
)
),
"")</f>
        <v>5</v>
      </c>
      <c r="C86" s="56" t="s">
        <v>237</v>
      </c>
      <c r="D86" s="39" t="str">
        <f t="shared" si="4"/>
        <v xml:space="preserve">                              Radial Reflector</v>
      </c>
      <c r="E86" s="39" t="s">
        <v>35</v>
      </c>
      <c r="F86" s="39" t="s">
        <v>237</v>
      </c>
      <c r="G86" s="39" t="s">
        <v>224</v>
      </c>
      <c r="H86" s="39"/>
      <c r="I86" s="39"/>
      <c r="J86" s="43">
        <f>MARVEL_Cost!C29</f>
        <v>120231</v>
      </c>
      <c r="K86" s="64">
        <f>MARVEL_Cost!C27/N86</f>
        <v>10062.893081761007</v>
      </c>
      <c r="L86" s="49" t="s">
        <v>186</v>
      </c>
      <c r="M86" s="59" t="s">
        <v>238</v>
      </c>
      <c r="N86" s="49">
        <f>'Design Variables'!B17</f>
        <v>318</v>
      </c>
      <c r="O86" s="49" t="s">
        <v>188</v>
      </c>
      <c r="P86" s="49">
        <v>1</v>
      </c>
      <c r="Q86" s="66">
        <v>2024</v>
      </c>
      <c r="R86" s="49" t="s">
        <v>219</v>
      </c>
      <c r="S86" s="59" t="s">
        <v>209</v>
      </c>
      <c r="T86" s="59" t="s">
        <v>210</v>
      </c>
      <c r="U86" s="150" t="s">
        <v>211</v>
      </c>
      <c r="V86" s="49"/>
      <c r="W86" s="77" t="s">
        <v>226</v>
      </c>
      <c r="X86" s="80">
        <f t="shared" ref="X86:X93" si="13">0.9*$J86</f>
        <v>108207.90000000001</v>
      </c>
      <c r="Y86" s="80">
        <f t="shared" ref="Y86:Y93" si="14">1.5*J86</f>
        <v>180346.5</v>
      </c>
      <c r="Z86" s="77" t="s">
        <v>44</v>
      </c>
      <c r="AA86" s="79">
        <f t="shared" ref="AA86:AA93" si="15">0.9*K86</f>
        <v>9056.6037735849059</v>
      </c>
      <c r="AB86" s="79">
        <f t="shared" ref="AB86:AB93" si="16">1.3*K86</f>
        <v>13081.761006289309</v>
      </c>
      <c r="AC86" s="77" t="s">
        <v>44</v>
      </c>
      <c r="AD86" s="79" t="s">
        <v>45</v>
      </c>
      <c r="AE86" s="79" t="s">
        <v>46</v>
      </c>
      <c r="AF86" s="79" t="s">
        <v>47</v>
      </c>
      <c r="AG86" s="77" t="s">
        <v>48</v>
      </c>
    </row>
    <row r="87" spans="1:36" ht="14.5" customHeight="1" x14ac:dyDescent="0.2">
      <c r="A87" s="53">
        <v>221.31200000000001</v>
      </c>
      <c r="B87" s="38">
        <f t="shared" ref="B87:B93" si="17">IF(ISNUMBER(A87),
    IF(AND(A87=INT(A87), MOD(A87, 10) = 0), 0,
        IF(AND(A87=INT(A87), LEN(A87)=2), 1,
            IF(AND(A87=INT(A87), LEN(A87)=3), 2,
                LEN(A87) - FIND(".", A87) + 2)
        )
    ),
"")</f>
        <v>5</v>
      </c>
      <c r="C87" s="56" t="s">
        <v>239</v>
      </c>
      <c r="D87" s="39" t="str">
        <f t="shared" si="4"/>
        <v xml:space="preserve">                              Axial Reflector</v>
      </c>
      <c r="E87" s="39" t="s">
        <v>35</v>
      </c>
      <c r="F87" s="39" t="s">
        <v>239</v>
      </c>
      <c r="G87" s="39" t="s">
        <v>224</v>
      </c>
      <c r="H87" s="39"/>
      <c r="I87" s="39"/>
      <c r="J87" s="43">
        <v>120231</v>
      </c>
      <c r="K87" s="64">
        <v>10062.893081761011</v>
      </c>
      <c r="L87" s="49" t="s">
        <v>186</v>
      </c>
      <c r="M87" s="59" t="s">
        <v>240</v>
      </c>
      <c r="N87" s="49">
        <v>318</v>
      </c>
      <c r="O87" s="49" t="s">
        <v>188</v>
      </c>
      <c r="P87" s="49">
        <v>1</v>
      </c>
      <c r="Q87" s="66">
        <v>2024</v>
      </c>
      <c r="R87" s="49" t="s">
        <v>219</v>
      </c>
      <c r="S87" s="59" t="s">
        <v>209</v>
      </c>
      <c r="T87" s="59" t="s">
        <v>210</v>
      </c>
      <c r="U87" s="142"/>
      <c r="V87" s="49"/>
      <c r="W87" s="77" t="s">
        <v>226</v>
      </c>
      <c r="X87" s="80">
        <f t="shared" si="13"/>
        <v>108207.90000000001</v>
      </c>
      <c r="Y87" s="80">
        <f t="shared" si="14"/>
        <v>180346.5</v>
      </c>
      <c r="Z87" s="77" t="s">
        <v>44</v>
      </c>
      <c r="AA87" s="79">
        <f t="shared" si="15"/>
        <v>9056.6037735849095</v>
      </c>
      <c r="AB87" s="79">
        <f t="shared" si="16"/>
        <v>13081.761006289315</v>
      </c>
      <c r="AC87" s="77" t="s">
        <v>44</v>
      </c>
      <c r="AD87" s="79" t="s">
        <v>45</v>
      </c>
      <c r="AE87" s="79" t="s">
        <v>46</v>
      </c>
      <c r="AF87" s="79" t="s">
        <v>47</v>
      </c>
      <c r="AG87" s="77" t="s">
        <v>48</v>
      </c>
    </row>
    <row r="88" spans="1:36" ht="14.5" customHeight="1" x14ac:dyDescent="0.2">
      <c r="A88" s="53">
        <v>221.31100000000001</v>
      </c>
      <c r="B88" s="38">
        <f t="shared" si="17"/>
        <v>5</v>
      </c>
      <c r="C88" s="56" t="s">
        <v>237</v>
      </c>
      <c r="D88" s="39" t="str">
        <f t="shared" si="4"/>
        <v xml:space="preserve">                              Radial Reflector</v>
      </c>
      <c r="E88" s="39" t="s">
        <v>35</v>
      </c>
      <c r="F88" s="39" t="s">
        <v>237</v>
      </c>
      <c r="G88" s="39" t="s">
        <v>227</v>
      </c>
      <c r="H88" s="39"/>
      <c r="I88" s="39"/>
      <c r="J88" s="43"/>
      <c r="K88" s="64">
        <f>MARVEL_Cost!C28/N81</f>
        <v>44736.84210526316</v>
      </c>
      <c r="L88" s="49" t="s">
        <v>186</v>
      </c>
      <c r="M88" s="59" t="s">
        <v>238</v>
      </c>
      <c r="N88" s="49">
        <f>1000*'Design Variables'!B19</f>
        <v>19</v>
      </c>
      <c r="O88" s="49" t="s">
        <v>188</v>
      </c>
      <c r="P88" s="49">
        <v>1</v>
      </c>
      <c r="Q88" s="66">
        <v>2024</v>
      </c>
      <c r="R88" s="49" t="s">
        <v>219</v>
      </c>
      <c r="S88" s="59" t="s">
        <v>209</v>
      </c>
      <c r="T88" s="59" t="s">
        <v>210</v>
      </c>
      <c r="U88" s="142"/>
      <c r="V88" s="49"/>
      <c r="W88" s="77" t="s">
        <v>228</v>
      </c>
      <c r="X88" s="80">
        <f t="shared" si="13"/>
        <v>0</v>
      </c>
      <c r="Y88" s="80">
        <f t="shared" si="14"/>
        <v>0</v>
      </c>
      <c r="Z88" s="77" t="s">
        <v>44</v>
      </c>
      <c r="AA88" s="79">
        <f t="shared" si="15"/>
        <v>40263.157894736847</v>
      </c>
      <c r="AB88" s="79">
        <f t="shared" si="16"/>
        <v>58157.894736842107</v>
      </c>
      <c r="AC88" s="77" t="s">
        <v>44</v>
      </c>
      <c r="AD88" s="79" t="s">
        <v>45</v>
      </c>
      <c r="AE88" s="79" t="s">
        <v>46</v>
      </c>
      <c r="AF88" s="79" t="s">
        <v>47</v>
      </c>
      <c r="AG88" s="77" t="s">
        <v>48</v>
      </c>
    </row>
    <row r="89" spans="1:36" ht="14.5" customHeight="1" x14ac:dyDescent="0.2">
      <c r="A89" s="53">
        <v>221.31200000000001</v>
      </c>
      <c r="B89" s="38">
        <f t="shared" si="17"/>
        <v>5</v>
      </c>
      <c r="C89" s="56" t="s">
        <v>239</v>
      </c>
      <c r="D89" s="39" t="str">
        <f t="shared" si="4"/>
        <v xml:space="preserve">                              Axial Reflector</v>
      </c>
      <c r="E89" s="39" t="s">
        <v>35</v>
      </c>
      <c r="F89" s="39" t="s">
        <v>239</v>
      </c>
      <c r="G89" s="39" t="s">
        <v>227</v>
      </c>
      <c r="H89" s="39"/>
      <c r="I89" s="39"/>
      <c r="J89" s="43"/>
      <c r="K89" s="64">
        <v>44736.84210526316</v>
      </c>
      <c r="L89" s="49" t="s">
        <v>186</v>
      </c>
      <c r="M89" s="59" t="s">
        <v>240</v>
      </c>
      <c r="N89" s="49">
        <v>19</v>
      </c>
      <c r="O89" s="49" t="s">
        <v>188</v>
      </c>
      <c r="P89" s="49">
        <v>1</v>
      </c>
      <c r="Q89" s="66">
        <v>2024</v>
      </c>
      <c r="R89" s="49" t="s">
        <v>219</v>
      </c>
      <c r="S89" s="59" t="s">
        <v>209</v>
      </c>
      <c r="T89" s="59" t="s">
        <v>210</v>
      </c>
      <c r="U89" s="142"/>
      <c r="V89" s="49"/>
      <c r="W89" s="77" t="s">
        <v>228</v>
      </c>
      <c r="X89" s="80">
        <f t="shared" si="13"/>
        <v>0</v>
      </c>
      <c r="Y89" s="80">
        <f t="shared" si="14"/>
        <v>0</v>
      </c>
      <c r="Z89" s="77" t="s">
        <v>44</v>
      </c>
      <c r="AA89" s="79">
        <f t="shared" si="15"/>
        <v>40263.157894736847</v>
      </c>
      <c r="AB89" s="79">
        <f t="shared" si="16"/>
        <v>58157.894736842107</v>
      </c>
      <c r="AC89" s="77" t="s">
        <v>44</v>
      </c>
      <c r="AD89" s="79" t="s">
        <v>45</v>
      </c>
      <c r="AE89" s="79" t="s">
        <v>46</v>
      </c>
      <c r="AF89" s="79" t="s">
        <v>47</v>
      </c>
      <c r="AG89" s="77" t="s">
        <v>48</v>
      </c>
    </row>
    <row r="90" spans="1:36" ht="57" customHeight="1" x14ac:dyDescent="0.2">
      <c r="A90" s="53">
        <v>221.31100000000001</v>
      </c>
      <c r="B90" s="38">
        <f t="shared" si="17"/>
        <v>5</v>
      </c>
      <c r="C90" s="56" t="s">
        <v>237</v>
      </c>
      <c r="D90" s="39" t="str">
        <f t="shared" si="4"/>
        <v xml:space="preserve">                              Radial Reflector</v>
      </c>
      <c r="E90" s="39" t="s">
        <v>35</v>
      </c>
      <c r="F90" s="39" t="s">
        <v>237</v>
      </c>
      <c r="G90" s="39" t="s">
        <v>229</v>
      </c>
      <c r="H90" s="39"/>
      <c r="I90" s="39"/>
      <c r="J90" s="43"/>
      <c r="K90" s="64">
        <v>80</v>
      </c>
      <c r="L90" s="49" t="s">
        <v>186</v>
      </c>
      <c r="M90" s="59" t="s">
        <v>238</v>
      </c>
      <c r="N90" s="49"/>
      <c r="O90" s="49"/>
      <c r="P90" s="49"/>
      <c r="Q90" s="66">
        <v>2022</v>
      </c>
      <c r="R90" s="49" t="s">
        <v>219</v>
      </c>
      <c r="S90" s="59" t="s">
        <v>230</v>
      </c>
      <c r="T90" s="59" t="s">
        <v>231</v>
      </c>
      <c r="U90" s="142"/>
      <c r="V90" s="49"/>
      <c r="W90" s="77" t="s">
        <v>157</v>
      </c>
      <c r="X90" s="80">
        <f t="shared" si="13"/>
        <v>0</v>
      </c>
      <c r="Y90" s="80">
        <f t="shared" si="14"/>
        <v>0</v>
      </c>
      <c r="Z90" s="77" t="s">
        <v>44</v>
      </c>
      <c r="AA90" s="79">
        <f t="shared" si="15"/>
        <v>72</v>
      </c>
      <c r="AB90" s="79">
        <f t="shared" si="16"/>
        <v>104</v>
      </c>
      <c r="AC90" s="77" t="s">
        <v>44</v>
      </c>
      <c r="AD90" s="79" t="s">
        <v>45</v>
      </c>
      <c r="AE90" s="79" t="s">
        <v>46</v>
      </c>
      <c r="AF90" s="79" t="s">
        <v>47</v>
      </c>
      <c r="AG90" s="77" t="s">
        <v>48</v>
      </c>
    </row>
    <row r="91" spans="1:36" ht="57" customHeight="1" x14ac:dyDescent="0.2">
      <c r="A91" s="53">
        <v>221.31200000000001</v>
      </c>
      <c r="B91" s="38">
        <f t="shared" si="17"/>
        <v>5</v>
      </c>
      <c r="C91" s="56" t="s">
        <v>239</v>
      </c>
      <c r="D91" s="39" t="str">
        <f t="shared" si="4"/>
        <v xml:space="preserve">                              Axial Reflector</v>
      </c>
      <c r="E91" s="39" t="s">
        <v>35</v>
      </c>
      <c r="F91" s="39" t="s">
        <v>239</v>
      </c>
      <c r="G91" s="39" t="s">
        <v>229</v>
      </c>
      <c r="H91" s="39"/>
      <c r="I91" s="39"/>
      <c r="J91" s="43"/>
      <c r="K91" s="64">
        <v>80</v>
      </c>
      <c r="L91" s="49" t="s">
        <v>186</v>
      </c>
      <c r="M91" s="59" t="s">
        <v>240</v>
      </c>
      <c r="N91" s="49"/>
      <c r="O91" s="49"/>
      <c r="P91" s="49"/>
      <c r="Q91" s="66">
        <v>2022</v>
      </c>
      <c r="R91" s="49" t="s">
        <v>219</v>
      </c>
      <c r="S91" s="59" t="s">
        <v>230</v>
      </c>
      <c r="T91" s="59" t="s">
        <v>231</v>
      </c>
      <c r="U91" s="142"/>
      <c r="V91" s="49"/>
      <c r="W91" s="77" t="s">
        <v>157</v>
      </c>
      <c r="X91" s="80">
        <f t="shared" si="13"/>
        <v>0</v>
      </c>
      <c r="Y91" s="80">
        <f t="shared" si="14"/>
        <v>0</v>
      </c>
      <c r="Z91" s="77" t="s">
        <v>44</v>
      </c>
      <c r="AA91" s="79">
        <f t="shared" si="15"/>
        <v>72</v>
      </c>
      <c r="AB91" s="79">
        <f t="shared" si="16"/>
        <v>104</v>
      </c>
      <c r="AC91" s="77" t="s">
        <v>44</v>
      </c>
      <c r="AD91" s="79" t="s">
        <v>45</v>
      </c>
      <c r="AE91" s="79" t="s">
        <v>46</v>
      </c>
      <c r="AF91" s="79" t="s">
        <v>47</v>
      </c>
      <c r="AG91" s="77" t="s">
        <v>48</v>
      </c>
    </row>
    <row r="92" spans="1:36" ht="29" customHeight="1" x14ac:dyDescent="0.2">
      <c r="A92" s="53">
        <v>221.31100000000001</v>
      </c>
      <c r="B92" s="38">
        <f t="shared" si="17"/>
        <v>5</v>
      </c>
      <c r="C92" s="56" t="s">
        <v>237</v>
      </c>
      <c r="D92" s="39" t="str">
        <f t="shared" si="4"/>
        <v xml:space="preserve">                              Radial Reflector</v>
      </c>
      <c r="E92" s="39" t="s">
        <v>35</v>
      </c>
      <c r="F92" s="39" t="s">
        <v>237</v>
      </c>
      <c r="G92" s="39" t="s">
        <v>241</v>
      </c>
      <c r="H92" s="39"/>
      <c r="I92" s="39"/>
      <c r="J92" s="43"/>
      <c r="K92" s="64">
        <v>134.1</v>
      </c>
      <c r="L92" s="49" t="s">
        <v>186</v>
      </c>
      <c r="M92" s="59" t="s">
        <v>238</v>
      </c>
      <c r="N92" s="49"/>
      <c r="O92" s="49"/>
      <c r="P92" s="49"/>
      <c r="Q92" s="66">
        <v>2017</v>
      </c>
      <c r="R92" s="49" t="s">
        <v>219</v>
      </c>
      <c r="S92" s="59" t="s">
        <v>242</v>
      </c>
      <c r="T92" s="59"/>
      <c r="U92" s="142"/>
      <c r="V92" s="49"/>
      <c r="W92" s="77" t="s">
        <v>157</v>
      </c>
      <c r="X92" s="80">
        <f t="shared" si="13"/>
        <v>0</v>
      </c>
      <c r="Y92" s="80">
        <f t="shared" si="14"/>
        <v>0</v>
      </c>
      <c r="Z92" s="77" t="s">
        <v>44</v>
      </c>
      <c r="AA92" s="79">
        <f t="shared" si="15"/>
        <v>120.69</v>
      </c>
      <c r="AB92" s="79">
        <f t="shared" si="16"/>
        <v>174.33</v>
      </c>
      <c r="AC92" s="77" t="s">
        <v>44</v>
      </c>
      <c r="AD92" s="79" t="s">
        <v>45</v>
      </c>
      <c r="AE92" s="79" t="s">
        <v>46</v>
      </c>
      <c r="AF92" s="79" t="s">
        <v>47</v>
      </c>
      <c r="AG92" s="77" t="s">
        <v>48</v>
      </c>
    </row>
    <row r="93" spans="1:36" ht="15" customHeight="1" x14ac:dyDescent="0.2">
      <c r="A93" s="53">
        <v>221.31200000000001</v>
      </c>
      <c r="B93" s="38">
        <f t="shared" si="17"/>
        <v>5</v>
      </c>
      <c r="C93" s="56" t="s">
        <v>239</v>
      </c>
      <c r="D93" s="39" t="str">
        <f t="shared" si="4"/>
        <v xml:space="preserve">                              Axial Reflector</v>
      </c>
      <c r="E93" s="39" t="s">
        <v>35</v>
      </c>
      <c r="F93" s="39" t="s">
        <v>239</v>
      </c>
      <c r="G93" s="39" t="s">
        <v>241</v>
      </c>
      <c r="H93" s="39"/>
      <c r="I93" s="39"/>
      <c r="J93" s="43"/>
      <c r="K93" s="64">
        <v>134.1</v>
      </c>
      <c r="L93" s="49" t="s">
        <v>186</v>
      </c>
      <c r="M93" s="59" t="s">
        <v>240</v>
      </c>
      <c r="N93" s="49"/>
      <c r="O93" s="49"/>
      <c r="P93" s="49"/>
      <c r="Q93" s="66">
        <v>2017</v>
      </c>
      <c r="R93" s="49" t="s">
        <v>219</v>
      </c>
      <c r="S93" s="59" t="s">
        <v>242</v>
      </c>
      <c r="T93" s="59"/>
      <c r="U93" s="142"/>
      <c r="V93" s="49"/>
      <c r="W93" s="77" t="s">
        <v>157</v>
      </c>
      <c r="X93" s="80">
        <f t="shared" si="13"/>
        <v>0</v>
      </c>
      <c r="Y93" s="80">
        <f t="shared" si="14"/>
        <v>0</v>
      </c>
      <c r="Z93" s="77" t="s">
        <v>44</v>
      </c>
      <c r="AA93" s="79">
        <f t="shared" si="15"/>
        <v>120.69</v>
      </c>
      <c r="AB93" s="79">
        <f t="shared" si="16"/>
        <v>174.33</v>
      </c>
      <c r="AC93" s="77" t="s">
        <v>44</v>
      </c>
      <c r="AD93" s="79" t="s">
        <v>45</v>
      </c>
      <c r="AE93" s="79" t="s">
        <v>46</v>
      </c>
      <c r="AF93" s="79" t="s">
        <v>47</v>
      </c>
      <c r="AG93" s="77" t="s">
        <v>48</v>
      </c>
    </row>
    <row r="94" spans="1:36" ht="15" customHeight="1" x14ac:dyDescent="0.2">
      <c r="A94" s="53">
        <v>221.32</v>
      </c>
      <c r="B94" s="38">
        <f>IF(ISNUMBER(A94),
IF(AND(A94=INT(A94), MOD(A94, 10) = 0), 0,
IF(AND(A94=INT(A94), LEN(A94)=2), 1,
IF(AND(A94=INT(A94), LEN(A94)=3), 2,
LEN(A94) - FIND(".", A94) + 2)
)
),
"")</f>
        <v>4</v>
      </c>
      <c r="C94" s="56" t="s">
        <v>243</v>
      </c>
      <c r="D94" s="39" t="str">
        <f t="shared" si="4"/>
        <v xml:space="preserve">                        Shield</v>
      </c>
      <c r="E94" s="39"/>
      <c r="F94" s="39"/>
      <c r="G94" s="39"/>
      <c r="H94" s="39"/>
      <c r="I94" s="39"/>
      <c r="J94" s="43"/>
      <c r="K94" s="61"/>
      <c r="L94" s="49"/>
      <c r="M94" s="59"/>
      <c r="N94" s="49"/>
      <c r="O94" s="49"/>
      <c r="P94" s="49"/>
      <c r="Q94" s="66"/>
      <c r="R94" s="49"/>
      <c r="S94" s="59"/>
      <c r="T94" s="59"/>
      <c r="U94" s="142"/>
      <c r="V94" s="49"/>
      <c r="W94" s="77"/>
      <c r="X94" s="80"/>
      <c r="Y94" s="80"/>
      <c r="Z94" s="77"/>
      <c r="AA94" s="79"/>
      <c r="AB94" s="79"/>
      <c r="AC94" s="77"/>
      <c r="AD94" s="79"/>
      <c r="AE94" s="79"/>
      <c r="AF94" s="79"/>
      <c r="AG94" s="77"/>
    </row>
    <row r="95" spans="1:36" s="33" customFormat="1" ht="30" customHeight="1" x14ac:dyDescent="0.15">
      <c r="A95" s="53">
        <v>221.321</v>
      </c>
      <c r="B95" s="38">
        <f>IF(ISNUMBER(A95),
IF(AND(A95=INT(A95), MOD(A95, 10) = 0), 0,
IF(AND(A95=INT(A95), LEN(A95)=2), 1,
IF(AND(A95=INT(A95), LEN(A95)=3), 2,
LEN(A95) - FIND(".", A95) + 2)
)
),
"")</f>
        <v>5</v>
      </c>
      <c r="C95" s="56" t="s">
        <v>244</v>
      </c>
      <c r="D95" s="39" t="str">
        <f t="shared" si="4"/>
        <v xml:space="preserve">                              In Vessel Shield Materials</v>
      </c>
      <c r="E95" s="39" t="s">
        <v>35</v>
      </c>
      <c r="F95" s="39" t="s">
        <v>245</v>
      </c>
      <c r="G95" s="39" t="s">
        <v>217</v>
      </c>
      <c r="H95" s="39"/>
      <c r="I95" s="39"/>
      <c r="J95" s="43">
        <f>MARVEL_Cost!C30</f>
        <v>647990.6</v>
      </c>
      <c r="K95" s="61">
        <f>K78</f>
        <v>14285.714285714286</v>
      </c>
      <c r="L95" s="49" t="s">
        <v>186</v>
      </c>
      <c r="M95" s="59" t="s">
        <v>246</v>
      </c>
      <c r="N95" s="49">
        <f>N78</f>
        <v>28</v>
      </c>
      <c r="O95" s="49" t="s">
        <v>188</v>
      </c>
      <c r="P95" s="49">
        <v>1</v>
      </c>
      <c r="Q95" s="66">
        <v>2024</v>
      </c>
      <c r="R95" s="49" t="s">
        <v>219</v>
      </c>
      <c r="S95" s="59" t="s">
        <v>209</v>
      </c>
      <c r="T95" s="59"/>
      <c r="U95" s="142"/>
      <c r="V95" s="49"/>
      <c r="W95" s="77" t="s">
        <v>157</v>
      </c>
      <c r="X95" s="80">
        <f>0.9*$J95</f>
        <v>583191.54</v>
      </c>
      <c r="Y95" s="80">
        <f>1.5*J95</f>
        <v>971985.89999999991</v>
      </c>
      <c r="Z95" s="77" t="s">
        <v>44</v>
      </c>
      <c r="AA95" s="79">
        <f t="shared" ref="AA95:AA103" si="18">0.9*K95</f>
        <v>12857.142857142859</v>
      </c>
      <c r="AB95" s="79">
        <f t="shared" ref="AB95:AB103" si="19">1.3*K95</f>
        <v>18571.428571428572</v>
      </c>
      <c r="AC95" s="77" t="s">
        <v>44</v>
      </c>
      <c r="AD95" s="79" t="s">
        <v>45</v>
      </c>
      <c r="AE95" s="79" t="s">
        <v>46</v>
      </c>
      <c r="AF95" s="79" t="s">
        <v>47</v>
      </c>
      <c r="AG95" s="77" t="s">
        <v>48</v>
      </c>
    </row>
    <row r="96" spans="1:36" s="33" customFormat="1" ht="30" customHeight="1" x14ac:dyDescent="0.15">
      <c r="A96" s="53">
        <v>221.322</v>
      </c>
      <c r="B96" s="38">
        <f>IF(ISNUMBER(A96),
IF(AND(A96=INT(A96), MOD(A96, 10) = 0), 0,
IF(AND(A96=INT(A96), LEN(A96)=2), 1,
IF(AND(A96=INT(A96), LEN(A96)=3), 2,
LEN(A96) - FIND(".", A96) + 2)
)
),
"")</f>
        <v>5</v>
      </c>
      <c r="C96" s="56" t="s">
        <v>247</v>
      </c>
      <c r="D96" s="39" t="str">
        <f t="shared" si="4"/>
        <v xml:space="preserve">                              Out The Vessel Shield Materials</v>
      </c>
      <c r="E96" s="39" t="s">
        <v>35</v>
      </c>
      <c r="F96" s="39" t="s">
        <v>248</v>
      </c>
      <c r="G96" s="39" t="s">
        <v>249</v>
      </c>
      <c r="H96" s="39"/>
      <c r="I96" s="39"/>
      <c r="J96" s="43"/>
      <c r="K96" s="61">
        <v>20</v>
      </c>
      <c r="L96" s="49" t="s">
        <v>186</v>
      </c>
      <c r="M96" s="59" t="s">
        <v>250</v>
      </c>
      <c r="N96" s="49">
        <f>'Design Variables'!B43</f>
        <v>925.3</v>
      </c>
      <c r="O96" s="49" t="s">
        <v>188</v>
      </c>
      <c r="P96" s="49">
        <v>1</v>
      </c>
      <c r="Q96" s="66">
        <v>2024</v>
      </c>
      <c r="R96" s="49" t="s">
        <v>219</v>
      </c>
      <c r="S96" s="59" t="s">
        <v>209</v>
      </c>
      <c r="T96" s="59"/>
      <c r="U96" s="143"/>
      <c r="V96" s="49"/>
      <c r="W96" s="77" t="s">
        <v>157</v>
      </c>
      <c r="X96" s="80">
        <f>0.9*$J96</f>
        <v>0</v>
      </c>
      <c r="Y96" s="80">
        <f>1.5*J96</f>
        <v>0</v>
      </c>
      <c r="Z96" s="77" t="s">
        <v>44</v>
      </c>
      <c r="AA96" s="79">
        <f t="shared" si="18"/>
        <v>18</v>
      </c>
      <c r="AB96" s="79">
        <f t="shared" si="19"/>
        <v>26</v>
      </c>
      <c r="AC96" s="77" t="s">
        <v>44</v>
      </c>
      <c r="AD96" s="79" t="s">
        <v>45</v>
      </c>
      <c r="AE96" s="79" t="s">
        <v>46</v>
      </c>
      <c r="AF96" s="79" t="s">
        <v>47</v>
      </c>
      <c r="AG96" s="77" t="s">
        <v>48</v>
      </c>
    </row>
    <row r="97" spans="1:33" ht="69" customHeight="1" x14ac:dyDescent="0.2">
      <c r="A97" s="88">
        <v>221.33</v>
      </c>
      <c r="B97" s="89">
        <f>IF(ISNUMBER(A97),
IF(AND(A97=INT(A97), MOD(A97, 10) = 0), 0,
IF(AND(A97=INT(A97), LEN(A97)=2), 1,
IF(AND(A97=INT(A97), LEN(A97)=3), 2,
LEN(A97) - FIND(".", A97) + 2)
)
),
"")</f>
        <v>4</v>
      </c>
      <c r="C97" s="56" t="s">
        <v>251</v>
      </c>
      <c r="D97" s="39" t="str">
        <f t="shared" si="4"/>
        <v xml:space="preserve">                        Moderator</v>
      </c>
      <c r="E97" s="39" t="s">
        <v>35</v>
      </c>
      <c r="F97" s="39" t="s">
        <v>251</v>
      </c>
      <c r="G97" s="39" t="s">
        <v>229</v>
      </c>
      <c r="H97" s="87"/>
      <c r="I97" s="87"/>
      <c r="K97" s="61">
        <v>80</v>
      </c>
      <c r="L97" s="49" t="s">
        <v>186</v>
      </c>
      <c r="M97" s="59" t="s">
        <v>252</v>
      </c>
      <c r="O97" s="49" t="s">
        <v>188</v>
      </c>
      <c r="Q97" s="66">
        <v>2022</v>
      </c>
      <c r="R97" s="49" t="s">
        <v>219</v>
      </c>
      <c r="S97" s="59" t="s">
        <v>230</v>
      </c>
      <c r="T97" s="63" t="s">
        <v>231</v>
      </c>
      <c r="W97" s="77" t="s">
        <v>157</v>
      </c>
      <c r="Z97" s="77" t="s">
        <v>44</v>
      </c>
      <c r="AA97" s="79">
        <f t="shared" si="18"/>
        <v>72</v>
      </c>
      <c r="AB97" s="79">
        <f t="shared" si="19"/>
        <v>104</v>
      </c>
      <c r="AC97" s="77" t="s">
        <v>44</v>
      </c>
      <c r="AD97" s="79" t="s">
        <v>45</v>
      </c>
      <c r="AE97" s="79" t="s">
        <v>46</v>
      </c>
      <c r="AF97" s="79" t="s">
        <v>47</v>
      </c>
      <c r="AG97" s="77" t="s">
        <v>48</v>
      </c>
    </row>
    <row r="98" spans="1:33" ht="69" customHeight="1" x14ac:dyDescent="0.2">
      <c r="A98" s="88">
        <v>221.33</v>
      </c>
      <c r="B98" s="89">
        <f>IF(ISNUMBER(A98),
    IF(AND(A98=INT(A98), MOD(A98, 10) = 0), 0,
        IF(AND(A98=INT(A98), LEN(A98)=2), 1,
            IF(AND(A98=INT(A98), LEN(A98)=3), 2,
                LEN(A98) - FIND(".", A98) + 2)
        )
    ),
"")</f>
        <v>4</v>
      </c>
      <c r="C98" s="56" t="s">
        <v>251</v>
      </c>
      <c r="D98" s="39" t="str">
        <f t="shared" ref="D98:D129" si="20">REPT("   ", B98*2) &amp; C98</f>
        <v xml:space="preserve">                        Moderator</v>
      </c>
      <c r="E98" s="39" t="s">
        <v>35</v>
      </c>
      <c r="F98" s="39" t="s">
        <v>251</v>
      </c>
      <c r="G98" s="39" t="s">
        <v>253</v>
      </c>
      <c r="H98" s="87"/>
      <c r="I98" s="87"/>
      <c r="K98" s="61">
        <f>2*K97</f>
        <v>160</v>
      </c>
      <c r="L98" s="49" t="s">
        <v>186</v>
      </c>
      <c r="M98" s="59" t="s">
        <v>252</v>
      </c>
      <c r="O98" s="49" t="s">
        <v>188</v>
      </c>
      <c r="Q98" s="66">
        <v>2022</v>
      </c>
      <c r="R98" s="49" t="s">
        <v>219</v>
      </c>
      <c r="S98" s="59" t="s">
        <v>254</v>
      </c>
      <c r="T98" s="63"/>
      <c r="W98" s="77" t="s">
        <v>157</v>
      </c>
      <c r="Z98" s="77" t="s">
        <v>44</v>
      </c>
      <c r="AA98" s="79">
        <f t="shared" si="18"/>
        <v>144</v>
      </c>
      <c r="AB98" s="79">
        <f t="shared" si="19"/>
        <v>208</v>
      </c>
      <c r="AC98" s="77" t="s">
        <v>44</v>
      </c>
      <c r="AD98" s="79" t="s">
        <v>45</v>
      </c>
      <c r="AE98" s="79" t="s">
        <v>46</v>
      </c>
      <c r="AF98" s="79" t="s">
        <v>47</v>
      </c>
      <c r="AG98" s="77" t="s">
        <v>48</v>
      </c>
    </row>
    <row r="99" spans="1:33" ht="69" customHeight="1" x14ac:dyDescent="0.2">
      <c r="A99" s="88">
        <v>221.33</v>
      </c>
      <c r="B99" s="89">
        <f>IF(ISNUMBER(A99),
IF(AND(A99=INT(A99), MOD(A99, 10) = 0), 0,
IF(AND(A99=INT(A99), LEN(A99)=2), 1,
IF(AND(A99=INT(A99), LEN(A99)=3), 2,
LEN(A99) - FIND(".", A99) + 2)
)
),
"")</f>
        <v>4</v>
      </c>
      <c r="C99" s="56" t="s">
        <v>251</v>
      </c>
      <c r="D99" s="39" t="str">
        <f t="shared" si="20"/>
        <v xml:space="preserve">                        Moderator</v>
      </c>
      <c r="E99" s="39" t="s">
        <v>35</v>
      </c>
      <c r="F99" s="39" t="s">
        <v>251</v>
      </c>
      <c r="G99" s="39" t="s">
        <v>255</v>
      </c>
      <c r="H99" s="87"/>
      <c r="I99" s="87"/>
      <c r="K99" s="61">
        <v>1520</v>
      </c>
      <c r="L99" s="49" t="s">
        <v>186</v>
      </c>
      <c r="M99" s="59" t="s">
        <v>252</v>
      </c>
      <c r="O99" s="49" t="s">
        <v>188</v>
      </c>
      <c r="Q99" s="66">
        <v>2017</v>
      </c>
      <c r="R99" s="49" t="s">
        <v>219</v>
      </c>
      <c r="S99" s="59" t="s">
        <v>256</v>
      </c>
      <c r="T99" s="63" t="s">
        <v>257</v>
      </c>
      <c r="W99" s="77" t="s">
        <v>157</v>
      </c>
      <c r="Z99" s="77" t="s">
        <v>44</v>
      </c>
      <c r="AA99" s="79">
        <f t="shared" si="18"/>
        <v>1368</v>
      </c>
      <c r="AB99" s="79">
        <f t="shared" si="19"/>
        <v>1976</v>
      </c>
      <c r="AC99" s="77" t="s">
        <v>44</v>
      </c>
      <c r="AD99" s="79" t="s">
        <v>45</v>
      </c>
      <c r="AE99" s="79" t="s">
        <v>46</v>
      </c>
      <c r="AF99" s="79" t="s">
        <v>47</v>
      </c>
      <c r="AG99" s="77" t="s">
        <v>48</v>
      </c>
    </row>
    <row r="100" spans="1:33" ht="69" customHeight="1" x14ac:dyDescent="0.2">
      <c r="A100" s="88">
        <v>221.33</v>
      </c>
      <c r="B100" s="89">
        <f>IF(ISNUMBER(A100),
    IF(AND(A100=INT(A100), MOD(A100, 10) = 0), 0,
        IF(AND(A100=INT(A100), LEN(A100)=2), 1,
            IF(AND(A100=INT(A100), LEN(A100)=3), 2,
                LEN(A100) - FIND(".", A100) + 2)
        )
    ),
"")</f>
        <v>4</v>
      </c>
      <c r="C100" s="56" t="s">
        <v>251</v>
      </c>
      <c r="D100" s="39" t="str">
        <f t="shared" si="20"/>
        <v xml:space="preserve">                        Moderator</v>
      </c>
      <c r="E100" s="39" t="s">
        <v>35</v>
      </c>
      <c r="F100" s="39" t="s">
        <v>251</v>
      </c>
      <c r="G100" s="39" t="s">
        <v>258</v>
      </c>
      <c r="H100" s="87"/>
      <c r="I100" s="87"/>
      <c r="K100" s="61">
        <v>1520</v>
      </c>
      <c r="L100" s="49" t="s">
        <v>186</v>
      </c>
      <c r="M100" s="59" t="s">
        <v>252</v>
      </c>
      <c r="O100" s="49" t="s">
        <v>188</v>
      </c>
      <c r="Q100" s="66">
        <v>2017</v>
      </c>
      <c r="R100" s="49" t="s">
        <v>219</v>
      </c>
      <c r="S100" s="59"/>
      <c r="T100" s="63" t="s">
        <v>259</v>
      </c>
      <c r="W100" s="77" t="s">
        <v>157</v>
      </c>
      <c r="Z100" s="77" t="s">
        <v>44</v>
      </c>
      <c r="AA100" s="79">
        <f t="shared" si="18"/>
        <v>1368</v>
      </c>
      <c r="AB100" s="79">
        <f t="shared" si="19"/>
        <v>1976</v>
      </c>
      <c r="AC100" s="77" t="s">
        <v>44</v>
      </c>
      <c r="AD100" s="79" t="s">
        <v>45</v>
      </c>
      <c r="AE100" s="79" t="s">
        <v>46</v>
      </c>
      <c r="AF100" s="79" t="s">
        <v>47</v>
      </c>
      <c r="AG100" s="77" t="s">
        <v>48</v>
      </c>
    </row>
    <row r="101" spans="1:33" ht="69" customHeight="1" x14ac:dyDescent="0.2">
      <c r="A101" s="88">
        <v>221.34</v>
      </c>
      <c r="B101" s="89">
        <f>IF(ISNUMBER(A101),
IF(AND(A101=INT(A101), MOD(A101, 10) = 0), 0,
IF(AND(A101=INT(A101), LEN(A101)=2), 1,
IF(AND(A101=INT(A101), LEN(A101)=3), 2,
LEN(A101) - FIND(".", A101) + 2)
)
),
"")</f>
        <v>4</v>
      </c>
      <c r="C101" s="56" t="s">
        <v>260</v>
      </c>
      <c r="D101" s="39" t="str">
        <f t="shared" si="20"/>
        <v xml:space="preserve">                        Moderator (Booster)</v>
      </c>
      <c r="E101" s="39" t="s">
        <v>35</v>
      </c>
      <c r="F101" s="39" t="s">
        <v>711</v>
      </c>
      <c r="G101" s="39" t="s">
        <v>229</v>
      </c>
      <c r="H101" s="87"/>
      <c r="I101" s="87"/>
      <c r="K101" s="61">
        <v>80</v>
      </c>
      <c r="L101" s="49" t="s">
        <v>186</v>
      </c>
      <c r="M101" s="59" t="s">
        <v>712</v>
      </c>
      <c r="O101" s="49" t="s">
        <v>188</v>
      </c>
      <c r="Q101" s="66">
        <v>2022</v>
      </c>
      <c r="R101" s="49" t="s">
        <v>219</v>
      </c>
      <c r="S101" s="59" t="s">
        <v>230</v>
      </c>
      <c r="T101" s="63" t="s">
        <v>231</v>
      </c>
      <c r="W101" s="77" t="s">
        <v>157</v>
      </c>
      <c r="Z101" s="77" t="s">
        <v>44</v>
      </c>
      <c r="AA101" s="79">
        <f t="shared" si="18"/>
        <v>72</v>
      </c>
      <c r="AB101" s="79">
        <f t="shared" si="19"/>
        <v>104</v>
      </c>
      <c r="AC101" s="77" t="s">
        <v>44</v>
      </c>
      <c r="AD101" s="79" t="s">
        <v>45</v>
      </c>
      <c r="AE101" s="79" t="s">
        <v>46</v>
      </c>
      <c r="AF101" s="79" t="s">
        <v>47</v>
      </c>
      <c r="AG101" s="77" t="s">
        <v>48</v>
      </c>
    </row>
    <row r="102" spans="1:33" ht="69" customHeight="1" x14ac:dyDescent="0.2">
      <c r="A102" s="88">
        <v>221.34</v>
      </c>
      <c r="B102" s="89">
        <f>IF(ISNUMBER(A102),
IF(AND(A102=INT(A102), MOD(A102, 10) = 0), 0,
IF(AND(A102=INT(A102), LEN(A102)=2), 1,
IF(AND(A102=INT(A102), LEN(A102)=3), 2,
LEN(A102) - FIND(".", A102) + 2)
)
),
"")</f>
        <v>4</v>
      </c>
      <c r="C102" s="56" t="s">
        <v>260</v>
      </c>
      <c r="D102" s="39" t="str">
        <f t="shared" si="20"/>
        <v xml:space="preserve">                        Moderator (Booster)</v>
      </c>
      <c r="E102" s="39" t="s">
        <v>35</v>
      </c>
      <c r="F102" s="39" t="s">
        <v>711</v>
      </c>
      <c r="G102" s="39" t="s">
        <v>258</v>
      </c>
      <c r="H102" s="87"/>
      <c r="I102" s="87"/>
      <c r="K102" s="61">
        <v>1520</v>
      </c>
      <c r="L102" s="49" t="s">
        <v>186</v>
      </c>
      <c r="M102" s="59" t="s">
        <v>714</v>
      </c>
      <c r="O102" s="49" t="s">
        <v>188</v>
      </c>
      <c r="Q102" s="66">
        <v>2017</v>
      </c>
      <c r="R102" s="49" t="s">
        <v>219</v>
      </c>
      <c r="S102" s="59"/>
      <c r="T102" s="63" t="s">
        <v>259</v>
      </c>
      <c r="W102" s="77" t="s">
        <v>157</v>
      </c>
      <c r="Z102" s="77" t="s">
        <v>44</v>
      </c>
      <c r="AA102" s="79">
        <f t="shared" si="18"/>
        <v>1368</v>
      </c>
      <c r="AB102" s="79">
        <f t="shared" si="19"/>
        <v>1976</v>
      </c>
      <c r="AC102" s="77" t="s">
        <v>44</v>
      </c>
      <c r="AD102" s="79" t="s">
        <v>45</v>
      </c>
      <c r="AE102" s="79" t="s">
        <v>46</v>
      </c>
      <c r="AF102" s="79" t="s">
        <v>47</v>
      </c>
      <c r="AG102" s="77" t="s">
        <v>48</v>
      </c>
    </row>
    <row r="103" spans="1:33" ht="69" customHeight="1" x14ac:dyDescent="0.2">
      <c r="A103" s="88">
        <v>221.34</v>
      </c>
      <c r="B103" s="89">
        <f>IF(ISNUMBER(A103),
IF(AND(A103=INT(A103), MOD(A103, 10) = 0), 0,
IF(AND(A103=INT(A103), LEN(A103)=2), 1,
IF(AND(A103=INT(A103), LEN(A103)=3), 2,
LEN(A103) - FIND(".", A103) + 2)
)
),
"")</f>
        <v>4</v>
      </c>
      <c r="C103" s="56" t="s">
        <v>260</v>
      </c>
      <c r="D103" s="39" t="str">
        <f t="shared" si="20"/>
        <v xml:space="preserve">                        Moderator (Booster)</v>
      </c>
      <c r="E103" s="39" t="s">
        <v>35</v>
      </c>
      <c r="F103" s="39" t="s">
        <v>711</v>
      </c>
      <c r="G103" s="39" t="s">
        <v>255</v>
      </c>
      <c r="H103" s="87"/>
      <c r="I103" s="87"/>
      <c r="K103" s="61">
        <v>1520</v>
      </c>
      <c r="L103" s="49" t="s">
        <v>186</v>
      </c>
      <c r="M103" s="59" t="s">
        <v>713</v>
      </c>
      <c r="O103" s="49" t="s">
        <v>188</v>
      </c>
      <c r="Q103" s="66">
        <v>2017</v>
      </c>
      <c r="R103" s="49" t="s">
        <v>219</v>
      </c>
      <c r="S103" s="59" t="s">
        <v>256</v>
      </c>
      <c r="T103" s="63" t="s">
        <v>257</v>
      </c>
      <c r="W103" s="77" t="s">
        <v>157</v>
      </c>
      <c r="Z103" s="77" t="s">
        <v>44</v>
      </c>
      <c r="AA103" s="79">
        <f t="shared" si="18"/>
        <v>1368</v>
      </c>
      <c r="AB103" s="79">
        <f t="shared" si="19"/>
        <v>1976</v>
      </c>
      <c r="AC103" s="77" t="s">
        <v>44</v>
      </c>
      <c r="AD103" s="79" t="s">
        <v>45</v>
      </c>
      <c r="AE103" s="79" t="s">
        <v>46</v>
      </c>
      <c r="AF103" s="79" t="s">
        <v>47</v>
      </c>
      <c r="AG103" s="77" t="s">
        <v>48</v>
      </c>
    </row>
    <row r="104" spans="1:33" ht="30" customHeight="1" x14ac:dyDescent="0.2">
      <c r="A104" s="53">
        <v>222</v>
      </c>
      <c r="B104" s="38">
        <f>IF(ISNUMBER(A104),
IF(AND(A104=INT(A104), MOD(A104, 10) = 0), 0,
IF(AND(A104=INT(A104), LEN(A104)=2), 1,
IF(AND(A104=INT(A104), LEN(A104)=3), 2,
LEN(A104) - FIND(".", A104) + 2)
)
),
"")</f>
        <v>2</v>
      </c>
      <c r="C104" s="56" t="s">
        <v>261</v>
      </c>
      <c r="D104" s="39" t="str">
        <f t="shared" si="20"/>
        <v xml:space="preserve">            Main Heat Transport System</v>
      </c>
      <c r="E104" s="39"/>
      <c r="F104" s="39"/>
      <c r="G104" s="39"/>
      <c r="H104" s="39"/>
      <c r="I104" s="39"/>
      <c r="J104" s="43"/>
      <c r="K104" s="61"/>
      <c r="L104" s="49"/>
      <c r="M104" s="59"/>
      <c r="N104" s="49"/>
      <c r="O104" s="49"/>
      <c r="P104" s="49"/>
      <c r="Q104" s="66"/>
      <c r="R104" s="49"/>
      <c r="S104" s="59"/>
      <c r="T104" s="63"/>
      <c r="U104" s="49"/>
      <c r="V104" s="49"/>
      <c r="W104" s="77"/>
      <c r="X104" s="80"/>
      <c r="Y104" s="80"/>
      <c r="Z104" s="77"/>
      <c r="AA104" s="79"/>
      <c r="AB104" s="79"/>
      <c r="AC104" s="77"/>
      <c r="AD104" s="79"/>
      <c r="AE104" s="79"/>
      <c r="AF104" s="79"/>
      <c r="AG104" s="77"/>
    </row>
    <row r="105" spans="1:33" ht="15" customHeight="1" x14ac:dyDescent="0.2">
      <c r="A105" s="53">
        <v>222.1</v>
      </c>
      <c r="B105" s="38">
        <f>IF(ISNUMBER(A105),
    IF(AND(A105=INT(A105), MOD(A105, 10) = 0), 0,
        IF(AND(A105=INT(A105), LEN(A105)=2), 1,
            IF(AND(A105=INT(A105), LEN(A105)=3), 2,
                LEN(A105) - FIND(".", A105) + 2)
        )
    ),
"")</f>
        <v>3</v>
      </c>
      <c r="C105" s="56" t="s">
        <v>262</v>
      </c>
      <c r="D105" s="39" t="str">
        <f t="shared" si="20"/>
        <v xml:space="preserve">                  Fluid Circulation Drive System</v>
      </c>
      <c r="E105" s="39"/>
      <c r="F105" s="39"/>
      <c r="G105" s="39"/>
      <c r="H105" s="39"/>
      <c r="I105" s="39"/>
      <c r="J105" s="43"/>
      <c r="K105" s="66"/>
      <c r="L105" s="49"/>
      <c r="M105" s="59"/>
      <c r="N105" s="49"/>
      <c r="O105" s="49"/>
      <c r="P105" s="49"/>
      <c r="Q105" s="66"/>
      <c r="R105" s="49"/>
      <c r="S105" s="59"/>
      <c r="T105" s="49"/>
      <c r="U105" s="49"/>
      <c r="V105" s="49"/>
      <c r="W105" s="77"/>
      <c r="X105" s="80"/>
      <c r="Y105" s="80"/>
      <c r="Z105" s="77"/>
      <c r="AA105" s="79"/>
      <c r="AB105" s="79"/>
      <c r="AC105" s="77"/>
      <c r="AD105" s="79"/>
      <c r="AE105" s="79"/>
      <c r="AF105" s="79"/>
      <c r="AG105" s="77"/>
    </row>
    <row r="106" spans="1:33" ht="61.25" customHeight="1" x14ac:dyDescent="0.2">
      <c r="A106" s="42">
        <v>222.11</v>
      </c>
      <c r="B106" s="38">
        <f>IF(ISNUMBER(A106),
IF(AND(A106=INT(A106), MOD(A106, 10) = 0), 0,
IF(AND(A106=INT(A106), LEN(A106)=2), 1,
IF(AND(A106=INT(A106), LEN(A106)=3), 2,
LEN(A106) - FIND(".", A106) + 2)
)
),
"")</f>
        <v>4</v>
      </c>
      <c r="C106" s="56" t="s">
        <v>263</v>
      </c>
      <c r="D106" s="39" t="str">
        <f t="shared" si="20"/>
        <v xml:space="preserve">                        Primary Pump</v>
      </c>
      <c r="E106" s="39" t="s">
        <v>264</v>
      </c>
      <c r="F106" s="39" t="s">
        <v>263</v>
      </c>
      <c r="G106" s="39" t="s">
        <v>265</v>
      </c>
      <c r="H106" s="39"/>
      <c r="I106" s="39"/>
      <c r="J106" s="43"/>
      <c r="K106" s="61">
        <f>12.5*705.48</f>
        <v>8818.5</v>
      </c>
      <c r="L106" s="49" t="s">
        <v>266</v>
      </c>
      <c r="M106" s="59" t="s">
        <v>267</v>
      </c>
      <c r="N106" s="49"/>
      <c r="O106" s="49"/>
      <c r="P106" s="49">
        <v>0.71</v>
      </c>
      <c r="Q106" s="66">
        <v>2003</v>
      </c>
      <c r="R106" s="49" t="s">
        <v>86</v>
      </c>
      <c r="S106" s="59" t="s">
        <v>268</v>
      </c>
      <c r="T106" s="144" t="s">
        <v>269</v>
      </c>
      <c r="U106" s="149" t="s">
        <v>270</v>
      </c>
      <c r="V106" s="144"/>
      <c r="W106" s="77" t="s">
        <v>157</v>
      </c>
      <c r="X106" s="80">
        <f t="shared" ref="X106:X111" si="21">0.9*$J106</f>
        <v>0</v>
      </c>
      <c r="Y106" s="80">
        <f t="shared" ref="Y106:Y111" si="22">1.5*J106</f>
        <v>0</v>
      </c>
      <c r="Z106" s="77" t="s">
        <v>44</v>
      </c>
      <c r="AA106" s="79">
        <f t="shared" ref="AA106:AA111" si="23">0.9*K106</f>
        <v>7936.6500000000005</v>
      </c>
      <c r="AB106" s="79">
        <f t="shared" ref="AB106:AB111" si="24">1.3*K106</f>
        <v>11464.050000000001</v>
      </c>
      <c r="AC106" s="77" t="s">
        <v>44</v>
      </c>
      <c r="AD106" s="79" t="s">
        <v>45</v>
      </c>
      <c r="AE106" s="79" t="s">
        <v>46</v>
      </c>
      <c r="AF106" s="79" t="s">
        <v>47</v>
      </c>
      <c r="AG106" s="77" t="s">
        <v>48</v>
      </c>
    </row>
    <row r="107" spans="1:33" ht="29" customHeight="1" x14ac:dyDescent="0.2">
      <c r="A107" s="42">
        <v>222.12</v>
      </c>
      <c r="B107" s="38">
        <f>IF(ISNUMBER(A107),
IF(AND(A107=INT(A107), MOD(A107, 10) = 0), 0,
IF(AND(A107=INT(A107), LEN(A107)=2), 1,
IF(AND(A107=INT(A107), LEN(A107)=3), 2,
LEN(A107) - FIND(".", A107) + 2)
)
),
"")</f>
        <v>4</v>
      </c>
      <c r="C107" s="56" t="s">
        <v>271</v>
      </c>
      <c r="D107" s="39" t="str">
        <f t="shared" si="20"/>
        <v xml:space="preserve">                        Secondary Pump</v>
      </c>
      <c r="E107" s="39" t="s">
        <v>264</v>
      </c>
      <c r="F107" s="39" t="s">
        <v>271</v>
      </c>
      <c r="G107" s="39" t="s">
        <v>265</v>
      </c>
      <c r="H107" s="39"/>
      <c r="I107" s="39"/>
      <c r="J107" s="43"/>
      <c r="K107" s="61">
        <v>705.48</v>
      </c>
      <c r="L107" s="49" t="s">
        <v>266</v>
      </c>
      <c r="M107" s="59" t="s">
        <v>272</v>
      </c>
      <c r="N107" s="49"/>
      <c r="O107" s="49"/>
      <c r="P107" s="49">
        <v>0.71</v>
      </c>
      <c r="Q107" s="66">
        <v>2003</v>
      </c>
      <c r="R107" s="49" t="s">
        <v>86</v>
      </c>
      <c r="S107" s="59" t="s">
        <v>273</v>
      </c>
      <c r="T107" s="143"/>
      <c r="U107" s="143"/>
      <c r="V107" s="143"/>
      <c r="W107" s="77" t="s">
        <v>157</v>
      </c>
      <c r="X107" s="80">
        <f t="shared" si="21"/>
        <v>0</v>
      </c>
      <c r="Y107" s="80">
        <f t="shared" si="22"/>
        <v>0</v>
      </c>
      <c r="Z107" s="77" t="s">
        <v>44</v>
      </c>
      <c r="AA107" s="79">
        <f t="shared" si="23"/>
        <v>634.93200000000002</v>
      </c>
      <c r="AB107" s="79">
        <f t="shared" si="24"/>
        <v>917.12400000000002</v>
      </c>
      <c r="AC107" s="77" t="s">
        <v>44</v>
      </c>
      <c r="AD107" s="79" t="s">
        <v>45</v>
      </c>
      <c r="AE107" s="79" t="s">
        <v>46</v>
      </c>
      <c r="AF107" s="79" t="s">
        <v>47</v>
      </c>
      <c r="AG107" s="77" t="s">
        <v>48</v>
      </c>
    </row>
    <row r="108" spans="1:33" ht="99" customHeight="1" x14ac:dyDescent="0.2">
      <c r="A108" s="42">
        <v>222.13</v>
      </c>
      <c r="B108" s="38">
        <f>IF(ISNUMBER(A108),
IF(AND(A108=INT(A108), MOD(A108, 10) = 0), 0,
IF(AND(A108=INT(A108), LEN(A108)=2), 1,
IF(AND(A108=INT(A108), LEN(A108)=3), 2,
LEN(A108) - FIND(".", A108) + 2)
)
),
"")</f>
        <v>4</v>
      </c>
      <c r="C108" s="56" t="s">
        <v>274</v>
      </c>
      <c r="D108" s="39" t="str">
        <f t="shared" si="20"/>
        <v xml:space="preserve">                        Compressor</v>
      </c>
      <c r="E108" s="39" t="s">
        <v>264</v>
      </c>
      <c r="F108" s="39" t="s">
        <v>118</v>
      </c>
      <c r="G108" s="39" t="s">
        <v>119</v>
      </c>
      <c r="H108" s="39"/>
      <c r="I108" s="39"/>
      <c r="J108" s="43"/>
      <c r="K108" s="61">
        <v>7100000</v>
      </c>
      <c r="L108" s="49" t="s">
        <v>275</v>
      </c>
      <c r="M108" s="59"/>
      <c r="N108" s="49"/>
      <c r="O108" s="49"/>
      <c r="P108" s="49"/>
      <c r="Q108" s="66">
        <v>2020</v>
      </c>
      <c r="R108" s="49" t="s">
        <v>86</v>
      </c>
      <c r="S108" s="59" t="s">
        <v>276</v>
      </c>
      <c r="T108" s="63" t="s">
        <v>277</v>
      </c>
      <c r="U108" s="67"/>
      <c r="V108" s="63" t="s">
        <v>278</v>
      </c>
      <c r="W108" s="77" t="s">
        <v>157</v>
      </c>
      <c r="X108" s="80">
        <f t="shared" si="21"/>
        <v>0</v>
      </c>
      <c r="Y108" s="80">
        <f t="shared" si="22"/>
        <v>0</v>
      </c>
      <c r="Z108" s="77" t="s">
        <v>44</v>
      </c>
      <c r="AA108" s="79">
        <f t="shared" si="23"/>
        <v>6390000</v>
      </c>
      <c r="AB108" s="79">
        <f t="shared" si="24"/>
        <v>9230000</v>
      </c>
      <c r="AC108" s="77" t="s">
        <v>44</v>
      </c>
      <c r="AD108" s="79" t="s">
        <v>45</v>
      </c>
      <c r="AE108" s="79" t="s">
        <v>46</v>
      </c>
      <c r="AF108" s="79" t="s">
        <v>47</v>
      </c>
      <c r="AG108" s="77" t="s">
        <v>48</v>
      </c>
    </row>
    <row r="109" spans="1:33" ht="30" customHeight="1" x14ac:dyDescent="0.2">
      <c r="A109" s="53">
        <v>222.2</v>
      </c>
      <c r="B109" s="38">
        <f>IF(ISNUMBER(A109),
IF(AND(A109=INT(A109), MOD(A109, 10) = 0), 0,
IF(AND(A109=INT(A109), LEN(A109)=2), 1,
IF(AND(A109=INT(A109), LEN(A109)=3), 2,
LEN(A109) - FIND(".", A109) + 2)
)
),
"")</f>
        <v>3</v>
      </c>
      <c r="C109" s="56" t="s">
        <v>279</v>
      </c>
      <c r="D109" s="39" t="str">
        <f t="shared" si="20"/>
        <v xml:space="preserve">                  Reactor Heat Transfer Piping System</v>
      </c>
      <c r="E109" s="39" t="s">
        <v>35</v>
      </c>
      <c r="F109" s="39" t="s">
        <v>118</v>
      </c>
      <c r="G109" s="39" t="s">
        <v>119</v>
      </c>
      <c r="H109" s="39"/>
      <c r="I109" s="39"/>
      <c r="J109" s="43"/>
      <c r="K109" s="61">
        <v>20000</v>
      </c>
      <c r="L109" s="49" t="s">
        <v>50</v>
      </c>
      <c r="M109" s="45" t="s">
        <v>51</v>
      </c>
      <c r="N109" s="49"/>
      <c r="O109" s="49"/>
      <c r="P109" s="49"/>
      <c r="Q109" s="66">
        <v>2017</v>
      </c>
      <c r="R109" s="49" t="s">
        <v>153</v>
      </c>
      <c r="S109" s="59" t="s">
        <v>280</v>
      </c>
      <c r="T109" s="59" t="s">
        <v>197</v>
      </c>
      <c r="U109" s="49"/>
      <c r="V109" s="49"/>
      <c r="W109" s="77" t="s">
        <v>157</v>
      </c>
      <c r="X109" s="80">
        <f t="shared" si="21"/>
        <v>0</v>
      </c>
      <c r="Y109" s="80">
        <f t="shared" si="22"/>
        <v>0</v>
      </c>
      <c r="Z109" s="77" t="s">
        <v>44</v>
      </c>
      <c r="AA109" s="79">
        <f t="shared" si="23"/>
        <v>18000</v>
      </c>
      <c r="AB109" s="79">
        <f t="shared" si="24"/>
        <v>26000</v>
      </c>
      <c r="AC109" s="77" t="s">
        <v>44</v>
      </c>
      <c r="AD109" s="79" t="s">
        <v>45</v>
      </c>
      <c r="AE109" s="79" t="s">
        <v>46</v>
      </c>
      <c r="AF109" s="79" t="s">
        <v>47</v>
      </c>
      <c r="AG109" s="77" t="s">
        <v>48</v>
      </c>
    </row>
    <row r="110" spans="1:33" ht="30" customHeight="1" x14ac:dyDescent="0.2">
      <c r="A110" s="53">
        <v>222.2</v>
      </c>
      <c r="B110" s="38">
        <f>IF(ISNUMBER(A110),
    IF(AND(A110=INT(A110), MOD(A110, 10) = 0), 0,
        IF(AND(A110=INT(A110), LEN(A110)=2), 1,
            IF(AND(A110=INT(A110), LEN(A110)=3), 2,
                LEN(A110) - FIND(".", A110) + 2)
        )
    ),
"")</f>
        <v>3</v>
      </c>
      <c r="C110" s="56" t="s">
        <v>279</v>
      </c>
      <c r="D110" s="39" t="str">
        <f t="shared" si="20"/>
        <v xml:space="preserve">                  Reactor Heat Transfer Piping System</v>
      </c>
      <c r="E110" s="39" t="s">
        <v>35</v>
      </c>
      <c r="F110" s="39" t="s">
        <v>118</v>
      </c>
      <c r="G110" s="39" t="s">
        <v>281</v>
      </c>
      <c r="H110" s="39"/>
      <c r="I110" s="39"/>
      <c r="J110" s="43"/>
      <c r="K110" s="61">
        <v>20000</v>
      </c>
      <c r="L110" s="49" t="s">
        <v>50</v>
      </c>
      <c r="M110" s="45" t="s">
        <v>51</v>
      </c>
      <c r="N110" s="49"/>
      <c r="O110" s="49"/>
      <c r="P110" s="49"/>
      <c r="Q110" s="66">
        <v>2017</v>
      </c>
      <c r="R110" s="49" t="s">
        <v>153</v>
      </c>
      <c r="S110" s="59" t="s">
        <v>280</v>
      </c>
      <c r="T110" s="59" t="s">
        <v>197</v>
      </c>
      <c r="U110" s="49"/>
      <c r="V110" s="49"/>
      <c r="W110" s="77" t="s">
        <v>157</v>
      </c>
      <c r="X110" s="80">
        <f t="shared" si="21"/>
        <v>0</v>
      </c>
      <c r="Y110" s="80">
        <f t="shared" si="22"/>
        <v>0</v>
      </c>
      <c r="Z110" s="77" t="s">
        <v>44</v>
      </c>
      <c r="AA110" s="79">
        <f t="shared" si="23"/>
        <v>18000</v>
      </c>
      <c r="AB110" s="79">
        <f t="shared" si="24"/>
        <v>26000</v>
      </c>
      <c r="AC110" s="77" t="s">
        <v>44</v>
      </c>
      <c r="AD110" s="79" t="s">
        <v>45</v>
      </c>
      <c r="AE110" s="79" t="s">
        <v>46</v>
      </c>
      <c r="AF110" s="79" t="s">
        <v>47</v>
      </c>
      <c r="AG110" s="77" t="s">
        <v>48</v>
      </c>
    </row>
    <row r="111" spans="1:33" ht="30" customHeight="1" x14ac:dyDescent="0.2">
      <c r="A111" s="53">
        <v>222.2</v>
      </c>
      <c r="B111" s="38">
        <f>IF(ISNUMBER(A111),
IF(AND(A111=INT(A111), MOD(A111, 10) = 0), 0,
IF(AND(A111=INT(A111), LEN(A111)=2), 1,
IF(AND(A111=INT(A111), LEN(A111)=3), 2,
LEN(A111) - FIND(".", A111) + 2)
)
),
"")</f>
        <v>3</v>
      </c>
      <c r="C111" s="56" t="s">
        <v>279</v>
      </c>
      <c r="D111" s="39" t="str">
        <f t="shared" si="20"/>
        <v xml:space="preserve">                  Reactor Heat Transfer Piping System</v>
      </c>
      <c r="E111" s="39" t="s">
        <v>35</v>
      </c>
      <c r="F111" s="39" t="s">
        <v>118</v>
      </c>
      <c r="G111" s="39" t="s">
        <v>282</v>
      </c>
      <c r="H111" s="39"/>
      <c r="I111" s="39"/>
      <c r="J111" s="43"/>
      <c r="K111" s="61">
        <v>10000</v>
      </c>
      <c r="L111" s="49" t="s">
        <v>283</v>
      </c>
      <c r="M111" s="45" t="s">
        <v>284</v>
      </c>
      <c r="N111" s="49">
        <v>1</v>
      </c>
      <c r="O111" s="49"/>
      <c r="P111" s="49">
        <v>0.7</v>
      </c>
      <c r="Q111" s="66">
        <v>2017</v>
      </c>
      <c r="R111" s="49" t="s">
        <v>153</v>
      </c>
      <c r="S111" s="59" t="s">
        <v>285</v>
      </c>
      <c r="T111" s="59"/>
      <c r="U111" s="49"/>
      <c r="V111" s="49"/>
      <c r="W111" s="77" t="s">
        <v>157</v>
      </c>
      <c r="X111" s="80">
        <f t="shared" si="21"/>
        <v>0</v>
      </c>
      <c r="Y111" s="80">
        <f t="shared" si="22"/>
        <v>0</v>
      </c>
      <c r="Z111" s="77" t="s">
        <v>44</v>
      </c>
      <c r="AA111" s="79">
        <f t="shared" si="23"/>
        <v>9000</v>
      </c>
      <c r="AB111" s="79">
        <f t="shared" si="24"/>
        <v>13000</v>
      </c>
      <c r="AC111" s="77" t="s">
        <v>44</v>
      </c>
      <c r="AD111" s="79" t="s">
        <v>45</v>
      </c>
      <c r="AE111" s="79" t="s">
        <v>46</v>
      </c>
      <c r="AF111" s="79" t="s">
        <v>47</v>
      </c>
      <c r="AG111" s="77" t="s">
        <v>48</v>
      </c>
    </row>
    <row r="112" spans="1:33" ht="15" customHeight="1" x14ac:dyDescent="0.2">
      <c r="A112" s="53">
        <v>222.3</v>
      </c>
      <c r="B112" s="38">
        <f>IF(ISNUMBER(A112),
IF(AND(A112=INT(A112), MOD(A112, 10) = 0), 0,
IF(AND(A112=INT(A112), LEN(A112)=2), 1,
IF(AND(A112=INT(A112), LEN(A112)=3), 2,
LEN(A112) - FIND(".", A112) + 2)
)
),
"")</f>
        <v>3</v>
      </c>
      <c r="C112" s="56" t="s">
        <v>286</v>
      </c>
      <c r="D112" s="39" t="str">
        <f t="shared" si="20"/>
        <v xml:space="preserve">                  Heat Exchangers</v>
      </c>
      <c r="E112" s="39"/>
      <c r="F112" s="39"/>
      <c r="G112" s="39"/>
      <c r="H112" s="39"/>
      <c r="I112" s="39"/>
      <c r="J112" s="43"/>
      <c r="K112" s="61"/>
      <c r="L112" s="49"/>
      <c r="M112" s="59"/>
      <c r="N112" s="49"/>
      <c r="O112" s="49"/>
      <c r="P112" s="49"/>
      <c r="Q112" s="66"/>
      <c r="R112" s="49"/>
      <c r="S112" s="59"/>
      <c r="T112" s="49"/>
      <c r="U112" s="49"/>
      <c r="V112" s="49"/>
      <c r="W112" s="77"/>
      <c r="X112" s="80"/>
      <c r="Y112" s="80"/>
      <c r="Z112" s="77"/>
      <c r="AA112" s="79"/>
      <c r="AB112" s="79"/>
      <c r="AC112" s="77"/>
      <c r="AD112" s="79"/>
      <c r="AE112" s="79"/>
      <c r="AF112" s="79"/>
      <c r="AG112" s="77"/>
    </row>
    <row r="113" spans="1:33" ht="30" customHeight="1" x14ac:dyDescent="0.2">
      <c r="A113" s="53">
        <v>222.31</v>
      </c>
      <c r="B113" s="38">
        <f>IF(ISNUMBER(A113),
    IF(AND(A113=INT(A113), MOD(A113, 10) = 0), 0,
        IF(AND(A113=INT(A113), LEN(A113)=2), 1,
            IF(AND(A113=INT(A113), LEN(A113)=3), 2,
                LEN(A113) - FIND(".", A113) + 2)
        )
    ),
"")</f>
        <v>4</v>
      </c>
      <c r="C113" s="56" t="s">
        <v>287</v>
      </c>
      <c r="D113" s="39" t="str">
        <f t="shared" si="20"/>
        <v xml:space="preserve">                        Primary Heat Exchanger</v>
      </c>
      <c r="E113" s="39" t="s">
        <v>35</v>
      </c>
      <c r="F113" s="39" t="s">
        <v>288</v>
      </c>
      <c r="G113" s="39" t="s">
        <v>289</v>
      </c>
      <c r="H113" s="39"/>
      <c r="I113" s="39"/>
      <c r="J113" s="43"/>
      <c r="K113" s="61">
        <v>50</v>
      </c>
      <c r="L113" s="49" t="s">
        <v>186</v>
      </c>
      <c r="M113" s="59" t="s">
        <v>290</v>
      </c>
      <c r="N113" s="49"/>
      <c r="O113" s="49" t="s">
        <v>188</v>
      </c>
      <c r="P113" s="49"/>
      <c r="Q113" s="66">
        <v>2004</v>
      </c>
      <c r="R113" s="49" t="s">
        <v>153</v>
      </c>
      <c r="S113" s="59" t="s">
        <v>291</v>
      </c>
      <c r="T113" s="63" t="s">
        <v>292</v>
      </c>
      <c r="U113" s="49"/>
      <c r="V113" s="49"/>
      <c r="W113" s="77" t="s">
        <v>157</v>
      </c>
      <c r="X113" s="80">
        <f>0.9*$J113</f>
        <v>0</v>
      </c>
      <c r="Y113" s="80">
        <f>1.5*J113</f>
        <v>0</v>
      </c>
      <c r="Z113" s="77" t="s">
        <v>44</v>
      </c>
      <c r="AA113" s="79">
        <f t="shared" ref="AA113:AA118" si="25">0.9*K113</f>
        <v>45</v>
      </c>
      <c r="AB113" s="79">
        <f t="shared" ref="AB113:AB118" si="26">1.3*K113</f>
        <v>65</v>
      </c>
      <c r="AC113" s="77" t="s">
        <v>44</v>
      </c>
      <c r="AD113" s="79" t="s">
        <v>45</v>
      </c>
      <c r="AE113" s="79" t="s">
        <v>46</v>
      </c>
      <c r="AF113" s="79" t="s">
        <v>47</v>
      </c>
      <c r="AG113" s="77" t="s">
        <v>48</v>
      </c>
    </row>
    <row r="114" spans="1:33" ht="30" customHeight="1" x14ac:dyDescent="0.2">
      <c r="A114" s="53">
        <v>222.31</v>
      </c>
      <c r="B114" s="38">
        <f>IF(ISNUMBER(A114),
    IF(AND(A114=INT(A114), MOD(A114, 10) = 0), 0,
        IF(AND(A114=INT(A114), LEN(A114)=2), 1,
            IF(AND(A114=INT(A114), LEN(A114)=3), 2,
                LEN(A114) - FIND(".", A114) + 2)
        )
    ),
"")</f>
        <v>4</v>
      </c>
      <c r="C114" s="56" t="s">
        <v>287</v>
      </c>
      <c r="D114" s="39" t="str">
        <f t="shared" si="20"/>
        <v xml:space="preserve">                        Primary Heat Exchanger</v>
      </c>
      <c r="E114" s="39" t="s">
        <v>35</v>
      </c>
      <c r="F114" s="39" t="s">
        <v>288</v>
      </c>
      <c r="G114" s="39" t="s">
        <v>293</v>
      </c>
      <c r="H114" s="39"/>
      <c r="I114" s="39"/>
      <c r="J114" s="43"/>
      <c r="K114" s="61">
        <v>120</v>
      </c>
      <c r="L114" s="49" t="s">
        <v>186</v>
      </c>
      <c r="M114" s="59" t="s">
        <v>290</v>
      </c>
      <c r="N114" s="49"/>
      <c r="O114" s="49" t="s">
        <v>188</v>
      </c>
      <c r="P114" s="49"/>
      <c r="Q114" s="66">
        <v>2013</v>
      </c>
      <c r="R114" s="49" t="s">
        <v>153</v>
      </c>
      <c r="S114" s="59" t="s">
        <v>291</v>
      </c>
      <c r="T114" s="63" t="s">
        <v>294</v>
      </c>
      <c r="U114" s="49"/>
      <c r="V114" s="49"/>
      <c r="W114" s="77" t="s">
        <v>157</v>
      </c>
      <c r="X114" s="80">
        <f>0.9*$J114</f>
        <v>0</v>
      </c>
      <c r="Y114" s="80">
        <f>1.5*J114</f>
        <v>0</v>
      </c>
      <c r="Z114" s="77" t="s">
        <v>44</v>
      </c>
      <c r="AA114" s="79">
        <f t="shared" si="25"/>
        <v>108</v>
      </c>
      <c r="AB114" s="79">
        <f t="shared" si="26"/>
        <v>156</v>
      </c>
      <c r="AC114" s="77" t="s">
        <v>44</v>
      </c>
      <c r="AD114" s="79" t="s">
        <v>45</v>
      </c>
      <c r="AE114" s="79" t="s">
        <v>46</v>
      </c>
      <c r="AF114" s="79" t="s">
        <v>47</v>
      </c>
      <c r="AG114" s="77" t="s">
        <v>48</v>
      </c>
    </row>
    <row r="115" spans="1:33" ht="30" customHeight="1" x14ac:dyDescent="0.2">
      <c r="A115" s="53">
        <v>222.32</v>
      </c>
      <c r="B115" s="38">
        <f>IF(ISNUMBER(A115),
    IF(AND(A115=INT(A115), MOD(A115, 10) = 0), 0,
        IF(AND(A115=INT(A115), LEN(A115)=2), 1,
            IF(AND(A115=INT(A115), LEN(A115)=3), 2,
                LEN(A115) - FIND(".", A115) + 2)
        )
    ),
"")</f>
        <v>4</v>
      </c>
      <c r="C115" s="56" t="s">
        <v>295</v>
      </c>
      <c r="D115" s="39" t="str">
        <f t="shared" si="20"/>
        <v xml:space="preserve">                        Secondary Heat Exchanger</v>
      </c>
      <c r="E115" s="39" t="s">
        <v>35</v>
      </c>
      <c r="F115" s="39" t="s">
        <v>288</v>
      </c>
      <c r="G115" s="39" t="s">
        <v>289</v>
      </c>
      <c r="H115" s="39"/>
      <c r="I115" s="39"/>
      <c r="J115" s="43"/>
      <c r="K115" s="61">
        <v>50</v>
      </c>
      <c r="L115" s="49" t="s">
        <v>186</v>
      </c>
      <c r="M115" s="59" t="s">
        <v>296</v>
      </c>
      <c r="N115" s="49"/>
      <c r="O115" s="49" t="s">
        <v>188</v>
      </c>
      <c r="P115" s="49"/>
      <c r="Q115" s="66">
        <v>2004</v>
      </c>
      <c r="R115" s="49" t="s">
        <v>153</v>
      </c>
      <c r="S115" s="59" t="s">
        <v>291</v>
      </c>
      <c r="T115" s="63" t="s">
        <v>292</v>
      </c>
      <c r="U115" s="49"/>
      <c r="V115" s="49"/>
      <c r="W115" s="77" t="s">
        <v>157</v>
      </c>
      <c r="X115" s="80">
        <f>0.9*$J115</f>
        <v>0</v>
      </c>
      <c r="Y115" s="80">
        <f>1.5*J115</f>
        <v>0</v>
      </c>
      <c r="Z115" s="77" t="s">
        <v>44</v>
      </c>
      <c r="AA115" s="79">
        <f t="shared" si="25"/>
        <v>45</v>
      </c>
      <c r="AB115" s="79">
        <f t="shared" si="26"/>
        <v>65</v>
      </c>
      <c r="AC115" s="77" t="s">
        <v>44</v>
      </c>
      <c r="AD115" s="79" t="s">
        <v>45</v>
      </c>
      <c r="AE115" s="79" t="s">
        <v>46</v>
      </c>
      <c r="AF115" s="79" t="s">
        <v>47</v>
      </c>
      <c r="AG115" s="77" t="s">
        <v>48</v>
      </c>
    </row>
    <row r="116" spans="1:33" ht="30" customHeight="1" x14ac:dyDescent="0.2">
      <c r="A116" s="53">
        <v>222.32</v>
      </c>
      <c r="B116" s="38">
        <f>IF(ISNUMBER(A116),
    IF(AND(A116=INT(A116), MOD(A116, 10) = 0), 0,
        IF(AND(A116=INT(A116), LEN(A116)=2), 1,
            IF(AND(A116=INT(A116), LEN(A116)=3), 2,
                LEN(A116) - FIND(".", A116) + 2)
        )
    ),
"")</f>
        <v>4</v>
      </c>
      <c r="C116" s="56" t="s">
        <v>295</v>
      </c>
      <c r="D116" s="39" t="str">
        <f t="shared" si="20"/>
        <v xml:space="preserve">                        Secondary Heat Exchanger</v>
      </c>
      <c r="E116" s="39" t="s">
        <v>35</v>
      </c>
      <c r="F116" s="39" t="s">
        <v>288</v>
      </c>
      <c r="G116" s="39" t="s">
        <v>293</v>
      </c>
      <c r="H116" s="39"/>
      <c r="I116" s="39"/>
      <c r="J116" s="43"/>
      <c r="K116" s="61">
        <v>120</v>
      </c>
      <c r="L116" s="49" t="s">
        <v>186</v>
      </c>
      <c r="M116" s="59" t="s">
        <v>296</v>
      </c>
      <c r="N116" s="49"/>
      <c r="O116" s="49" t="s">
        <v>188</v>
      </c>
      <c r="P116" s="49"/>
      <c r="Q116" s="66">
        <v>2013</v>
      </c>
      <c r="R116" s="49" t="s">
        <v>153</v>
      </c>
      <c r="S116" s="59" t="s">
        <v>291</v>
      </c>
      <c r="T116" s="63" t="s">
        <v>294</v>
      </c>
      <c r="U116" s="49"/>
      <c r="V116" s="49"/>
      <c r="W116" s="77" t="s">
        <v>157</v>
      </c>
      <c r="X116" s="80">
        <f>0.9*$J116</f>
        <v>0</v>
      </c>
      <c r="Y116" s="80">
        <f>1.5*J116</f>
        <v>0</v>
      </c>
      <c r="Z116" s="77" t="s">
        <v>44</v>
      </c>
      <c r="AA116" s="79">
        <f t="shared" si="25"/>
        <v>108</v>
      </c>
      <c r="AB116" s="79">
        <f t="shared" si="26"/>
        <v>156</v>
      </c>
      <c r="AC116" s="77" t="s">
        <v>44</v>
      </c>
      <c r="AD116" s="79" t="s">
        <v>45</v>
      </c>
      <c r="AE116" s="79" t="s">
        <v>46</v>
      </c>
      <c r="AF116" s="79" t="s">
        <v>47</v>
      </c>
      <c r="AG116" s="77" t="s">
        <v>48</v>
      </c>
    </row>
    <row r="117" spans="1:33" ht="30" customHeight="1" x14ac:dyDescent="0.2">
      <c r="A117" s="53">
        <v>222.5</v>
      </c>
      <c r="B117" s="38">
        <f>IF(ISNUMBER(A117),
IF(AND(A117=INT(A117), MOD(A117, 10) = 0), 0,
IF(AND(A117=INT(A117), LEN(A117)=2), 1,
IF(AND(A117=INT(A117), LEN(A117)=3), 2,
LEN(A117) - FIND(".", A117) + 2)
)
),
"")</f>
        <v>3</v>
      </c>
      <c r="C117" s="56" t="s">
        <v>297</v>
      </c>
      <c r="D117" s="39" t="str">
        <f t="shared" si="20"/>
        <v xml:space="preserve">                  Initial Coolant Inventory</v>
      </c>
      <c r="E117" s="39" t="s">
        <v>35</v>
      </c>
      <c r="F117" s="39" t="s">
        <v>298</v>
      </c>
      <c r="G117" s="39" t="s">
        <v>299</v>
      </c>
      <c r="H117" s="39"/>
      <c r="I117" s="39"/>
      <c r="J117" s="43"/>
      <c r="K117" s="61">
        <v>170</v>
      </c>
      <c r="L117" s="49" t="s">
        <v>186</v>
      </c>
      <c r="M117" s="59" t="s">
        <v>300</v>
      </c>
      <c r="N117" s="49"/>
      <c r="O117" s="49" t="s">
        <v>188</v>
      </c>
      <c r="P117" s="49"/>
      <c r="Q117" s="66">
        <v>2024</v>
      </c>
      <c r="R117" s="49" t="s">
        <v>219</v>
      </c>
      <c r="S117" s="59" t="s">
        <v>301</v>
      </c>
      <c r="T117" s="63" t="s">
        <v>301</v>
      </c>
      <c r="U117" s="83" t="s">
        <v>302</v>
      </c>
      <c r="V117" s="49" t="s">
        <v>303</v>
      </c>
      <c r="W117" s="77" t="s">
        <v>43</v>
      </c>
      <c r="X117" s="80">
        <f>0.9*$J117</f>
        <v>0</v>
      </c>
      <c r="Y117" s="80">
        <f>1.5*J117</f>
        <v>0</v>
      </c>
      <c r="Z117" s="77" t="s">
        <v>44</v>
      </c>
      <c r="AA117" s="79">
        <f t="shared" si="25"/>
        <v>153</v>
      </c>
      <c r="AB117" s="79">
        <f t="shared" si="26"/>
        <v>221</v>
      </c>
      <c r="AC117" s="77" t="s">
        <v>44</v>
      </c>
      <c r="AD117" s="79" t="s">
        <v>45</v>
      </c>
      <c r="AE117" s="79" t="s">
        <v>46</v>
      </c>
      <c r="AF117" s="79" t="s">
        <v>47</v>
      </c>
      <c r="AG117" s="77" t="s">
        <v>48</v>
      </c>
    </row>
    <row r="118" spans="1:33" ht="30" customHeight="1" x14ac:dyDescent="0.2">
      <c r="A118" s="53">
        <v>222.5</v>
      </c>
      <c r="B118" s="38">
        <f>IF(ISNUMBER(A118),
    IF(AND(A118=INT(A118), MOD(A118, 10) = 0), 0,
        IF(AND(A118=INT(A118), LEN(A118)=2), 1,
            IF(AND(A118=INT(A118), LEN(A118)=3), 2,
                LEN(A118) - FIND(".", A118) + 2)
        )
    ),
"")</f>
        <v>3</v>
      </c>
      <c r="C118" s="56" t="s">
        <v>297</v>
      </c>
      <c r="D118" s="39" t="str">
        <f t="shared" si="20"/>
        <v xml:space="preserve">                  Initial Coolant Inventory</v>
      </c>
      <c r="E118" s="39" t="s">
        <v>35</v>
      </c>
      <c r="F118" s="39" t="s">
        <v>298</v>
      </c>
      <c r="G118" s="39" t="s">
        <v>304</v>
      </c>
      <c r="H118" s="39"/>
      <c r="I118" s="39"/>
      <c r="J118" s="43"/>
      <c r="K118" s="61">
        <v>118</v>
      </c>
      <c r="L118" s="49" t="s">
        <v>186</v>
      </c>
      <c r="M118" s="59" t="s">
        <v>300</v>
      </c>
      <c r="N118" s="49"/>
      <c r="O118" s="49" t="s">
        <v>188</v>
      </c>
      <c r="P118" s="49"/>
      <c r="Q118" s="66">
        <v>2023</v>
      </c>
      <c r="R118" s="49" t="s">
        <v>219</v>
      </c>
      <c r="S118" s="59"/>
      <c r="T118" s="63"/>
      <c r="U118" s="83"/>
      <c r="V118" s="49"/>
      <c r="W118" s="77" t="s">
        <v>43</v>
      </c>
      <c r="X118" s="80"/>
      <c r="Y118" s="80"/>
      <c r="Z118" s="77"/>
      <c r="AA118" s="79">
        <f t="shared" si="25"/>
        <v>106.2</v>
      </c>
      <c r="AB118" s="79">
        <f t="shared" si="26"/>
        <v>153.4</v>
      </c>
      <c r="AC118" s="77" t="s">
        <v>44</v>
      </c>
      <c r="AD118" s="79" t="s">
        <v>45</v>
      </c>
      <c r="AE118" s="79" t="s">
        <v>46</v>
      </c>
      <c r="AF118" s="79">
        <v>0</v>
      </c>
      <c r="AG118" s="77" t="s">
        <v>48</v>
      </c>
    </row>
    <row r="119" spans="1:33" ht="30" customHeight="1" x14ac:dyDescent="0.2">
      <c r="A119" s="53">
        <v>222.6</v>
      </c>
      <c r="B119" s="38">
        <f t="shared" ref="B119:B126" si="27">IF(ISNUMBER(A119),
IF(AND(A119=INT(A119), MOD(A119, 10) = 0), 0,
IF(AND(A119=INT(A119), LEN(A119)=2), 1,
IF(AND(A119=INT(A119), LEN(A119)=3), 2,
LEN(A119) - FIND(".", A119) + 2)
)
),
"")</f>
        <v>3</v>
      </c>
      <c r="C119" s="56" t="s">
        <v>305</v>
      </c>
      <c r="D119" s="39" t="str">
        <f t="shared" si="20"/>
        <v xml:space="preserve">                  Integrated Heat Transfer Vessel</v>
      </c>
      <c r="E119" s="39"/>
      <c r="F119" s="39" t="s">
        <v>118</v>
      </c>
      <c r="G119" s="39" t="s">
        <v>119</v>
      </c>
      <c r="H119" s="39"/>
      <c r="I119" s="39"/>
      <c r="J119" s="43"/>
      <c r="K119" s="61"/>
      <c r="L119" s="49"/>
      <c r="M119" s="59"/>
      <c r="N119" s="49"/>
      <c r="O119" s="49"/>
      <c r="P119" s="49"/>
      <c r="Q119" s="66"/>
      <c r="R119" s="49"/>
      <c r="S119" s="59"/>
      <c r="T119" s="63"/>
      <c r="U119" s="83"/>
      <c r="V119" s="49"/>
      <c r="W119" s="77"/>
      <c r="X119" s="80"/>
      <c r="Y119" s="80"/>
      <c r="Z119" s="77"/>
      <c r="AA119" s="79"/>
      <c r="AB119" s="79"/>
      <c r="AC119" s="77"/>
      <c r="AD119" s="79"/>
      <c r="AE119" s="79"/>
      <c r="AF119" s="79"/>
      <c r="AG119" s="77"/>
    </row>
    <row r="120" spans="1:33" ht="30" customHeight="1" x14ac:dyDescent="0.2">
      <c r="A120" s="53">
        <v>222.61</v>
      </c>
      <c r="B120" s="38">
        <f t="shared" si="27"/>
        <v>4</v>
      </c>
      <c r="C120" s="56" t="s">
        <v>305</v>
      </c>
      <c r="D120" s="39" t="str">
        <f t="shared" si="20"/>
        <v xml:space="preserve">                        Integrated Heat Transfer Vessel</v>
      </c>
      <c r="E120" s="39" t="s">
        <v>35</v>
      </c>
      <c r="F120" s="39" t="s">
        <v>118</v>
      </c>
      <c r="G120" s="39" t="s">
        <v>119</v>
      </c>
      <c r="H120" s="39"/>
      <c r="I120" s="39"/>
      <c r="J120" s="43"/>
      <c r="K120" s="61">
        <v>50</v>
      </c>
      <c r="L120" s="49" t="s">
        <v>186</v>
      </c>
      <c r="M120" s="59" t="s">
        <v>306</v>
      </c>
      <c r="N120" s="49"/>
      <c r="O120" s="49" t="s">
        <v>188</v>
      </c>
      <c r="P120" s="49"/>
      <c r="Q120" s="66">
        <v>2004</v>
      </c>
      <c r="R120" s="49" t="s">
        <v>86</v>
      </c>
      <c r="S120" s="59" t="s">
        <v>291</v>
      </c>
      <c r="T120" s="63" t="s">
        <v>292</v>
      </c>
      <c r="U120" s="83"/>
      <c r="V120" s="144" t="s">
        <v>307</v>
      </c>
      <c r="W120" s="77" t="s">
        <v>157</v>
      </c>
      <c r="X120" s="80">
        <f>0.9*$J120</f>
        <v>0</v>
      </c>
      <c r="Y120" s="80">
        <f>1.5*J120</f>
        <v>0</v>
      </c>
      <c r="Z120" s="77" t="s">
        <v>44</v>
      </c>
      <c r="AA120" s="79">
        <f>0.9*K120</f>
        <v>45</v>
      </c>
      <c r="AB120" s="79">
        <f>1.3*K120</f>
        <v>65</v>
      </c>
      <c r="AC120" s="77" t="s">
        <v>44</v>
      </c>
      <c r="AD120" s="79" t="s">
        <v>45</v>
      </c>
      <c r="AE120" s="79" t="s">
        <v>46</v>
      </c>
      <c r="AF120" s="79" t="s">
        <v>47</v>
      </c>
      <c r="AG120" s="77" t="s">
        <v>48</v>
      </c>
    </row>
    <row r="121" spans="1:33" ht="30" customHeight="1" x14ac:dyDescent="0.2">
      <c r="A121" s="53">
        <v>222.62</v>
      </c>
      <c r="B121" s="38">
        <f t="shared" si="27"/>
        <v>4</v>
      </c>
      <c r="C121" s="56" t="s">
        <v>308</v>
      </c>
      <c r="D121" s="39" t="str">
        <f t="shared" si="20"/>
        <v xml:space="preserve">                        Integrated Heat Transfer System Support</v>
      </c>
      <c r="E121" s="39" t="s">
        <v>35</v>
      </c>
      <c r="F121" s="39" t="s">
        <v>118</v>
      </c>
      <c r="G121" s="39" t="s">
        <v>119</v>
      </c>
      <c r="H121" s="39"/>
      <c r="I121" s="39"/>
      <c r="J121" s="43"/>
      <c r="K121" s="61">
        <f>3171011/N121</f>
        <v>8.1938268733850137</v>
      </c>
      <c r="L121" s="49" t="s">
        <v>186</v>
      </c>
      <c r="M121" s="59" t="s">
        <v>306</v>
      </c>
      <c r="N121" s="49">
        <v>387000</v>
      </c>
      <c r="O121" s="49" t="s">
        <v>188</v>
      </c>
      <c r="P121" s="49">
        <v>0.85</v>
      </c>
      <c r="Q121" s="66">
        <v>2018</v>
      </c>
      <c r="R121" s="49" t="s">
        <v>86</v>
      </c>
      <c r="S121" s="59" t="s">
        <v>189</v>
      </c>
      <c r="T121" s="63" t="s">
        <v>292</v>
      </c>
      <c r="U121" s="83"/>
      <c r="V121" s="143"/>
      <c r="W121" s="77" t="s">
        <v>157</v>
      </c>
      <c r="X121" s="80">
        <f>0.9*$J121</f>
        <v>0</v>
      </c>
      <c r="Y121" s="80">
        <f>1.5*J121</f>
        <v>0</v>
      </c>
      <c r="Z121" s="77" t="s">
        <v>44</v>
      </c>
      <c r="AA121" s="79">
        <f>0.9*K121</f>
        <v>7.3744441860465129</v>
      </c>
      <c r="AB121" s="79">
        <f>1.3*K121</f>
        <v>10.651974935400519</v>
      </c>
      <c r="AC121" s="77" t="s">
        <v>44</v>
      </c>
      <c r="AD121" s="79" t="s">
        <v>45</v>
      </c>
      <c r="AE121" s="79" t="s">
        <v>46</v>
      </c>
      <c r="AF121" s="79" t="s">
        <v>47</v>
      </c>
      <c r="AG121" s="77" t="s">
        <v>48</v>
      </c>
    </row>
    <row r="122" spans="1:33" ht="15" customHeight="1" x14ac:dyDescent="0.2">
      <c r="A122" s="53">
        <v>223</v>
      </c>
      <c r="B122" s="38">
        <f t="shared" si="27"/>
        <v>2</v>
      </c>
      <c r="C122" s="56" t="s">
        <v>309</v>
      </c>
      <c r="D122" s="39" t="str">
        <f t="shared" si="20"/>
        <v xml:space="preserve">            Safety Systems</v>
      </c>
      <c r="E122" s="39"/>
      <c r="F122" s="39"/>
      <c r="G122" s="39"/>
      <c r="H122" s="39"/>
      <c r="I122" s="39"/>
      <c r="J122" s="43"/>
      <c r="K122" s="61"/>
      <c r="L122" s="49"/>
      <c r="M122" s="59"/>
      <c r="N122" s="49"/>
      <c r="O122" s="49"/>
      <c r="P122" s="49"/>
      <c r="Q122" s="66"/>
      <c r="R122" s="49"/>
      <c r="S122" s="59"/>
      <c r="T122" s="49"/>
      <c r="U122" s="49"/>
      <c r="V122" s="49"/>
      <c r="W122" s="77"/>
      <c r="X122" s="80"/>
      <c r="Y122" s="80"/>
      <c r="Z122" s="77"/>
      <c r="AA122" s="79"/>
      <c r="AB122" s="79"/>
      <c r="AC122" s="77"/>
      <c r="AD122" s="79"/>
      <c r="AE122" s="79"/>
      <c r="AF122" s="79"/>
      <c r="AG122" s="77"/>
    </row>
    <row r="123" spans="1:33" ht="15" customHeight="1" x14ac:dyDescent="0.2">
      <c r="A123" s="53">
        <v>223.2</v>
      </c>
      <c r="B123" s="38">
        <f t="shared" si="27"/>
        <v>3</v>
      </c>
      <c r="C123" s="56" t="s">
        <v>310</v>
      </c>
      <c r="D123" s="39" t="str">
        <f t="shared" si="20"/>
        <v xml:space="preserve">                  Reactor Cavity Cooling System (Rvacs)</v>
      </c>
      <c r="E123" s="39"/>
      <c r="F123" s="39"/>
      <c r="G123" s="39"/>
      <c r="H123" s="39"/>
      <c r="I123" s="39"/>
      <c r="J123" s="43"/>
      <c r="K123" s="61"/>
      <c r="L123" s="49"/>
      <c r="M123" s="59"/>
      <c r="N123" s="49"/>
      <c r="O123" s="49"/>
      <c r="P123" s="49"/>
      <c r="Q123" s="66"/>
      <c r="R123" s="49"/>
      <c r="S123" s="59"/>
      <c r="T123" s="49"/>
      <c r="U123" s="49"/>
      <c r="V123" s="49"/>
      <c r="W123" s="77"/>
      <c r="X123" s="80"/>
      <c r="Y123" s="80"/>
      <c r="Z123" s="77"/>
      <c r="AA123" s="79"/>
      <c r="AB123" s="79"/>
      <c r="AC123" s="77"/>
      <c r="AD123" s="79"/>
      <c r="AE123" s="79"/>
      <c r="AF123" s="79"/>
      <c r="AG123" s="77"/>
    </row>
    <row r="124" spans="1:33" ht="30" customHeight="1" x14ac:dyDescent="0.2">
      <c r="A124" s="53">
        <v>223.21</v>
      </c>
      <c r="B124" s="38">
        <f t="shared" si="27"/>
        <v>4</v>
      </c>
      <c r="C124" s="56" t="s">
        <v>311</v>
      </c>
      <c r="D124" s="39" t="str">
        <f t="shared" si="20"/>
        <v xml:space="preserve">                        Rvacs (Cooling Vessel)</v>
      </c>
      <c r="E124" s="39" t="s">
        <v>35</v>
      </c>
      <c r="F124" s="39"/>
      <c r="G124" s="45"/>
      <c r="H124" s="45"/>
      <c r="I124" s="45"/>
      <c r="J124" s="66"/>
      <c r="K124" s="61">
        <f>K68</f>
        <v>757.20768746061754</v>
      </c>
      <c r="L124" s="49" t="s">
        <v>186</v>
      </c>
      <c r="M124" s="59" t="s">
        <v>312</v>
      </c>
      <c r="N124" s="49"/>
      <c r="O124" s="49"/>
      <c r="P124" s="49"/>
      <c r="Q124" s="66">
        <v>2017</v>
      </c>
      <c r="R124" s="49" t="s">
        <v>86</v>
      </c>
      <c r="S124" s="59" t="s">
        <v>196</v>
      </c>
      <c r="T124" s="63" t="s">
        <v>197</v>
      </c>
      <c r="U124" s="49"/>
      <c r="V124" s="49"/>
      <c r="W124" s="77" t="s">
        <v>157</v>
      </c>
      <c r="X124" s="80">
        <f t="shared" ref="X124:X129" si="28">0.9*$J124</f>
        <v>0</v>
      </c>
      <c r="Y124" s="80">
        <f t="shared" ref="Y124:Y129" si="29">1.5*J124</f>
        <v>0</v>
      </c>
      <c r="Z124" s="77" t="s">
        <v>44</v>
      </c>
      <c r="AA124" s="79">
        <f t="shared" ref="AA124:AA129" si="30">0.9*K124</f>
        <v>681.48691871455583</v>
      </c>
      <c r="AB124" s="79">
        <f t="shared" ref="AB124:AB129" si="31">1.3*K124</f>
        <v>984.36999369880277</v>
      </c>
      <c r="AC124" s="77" t="s">
        <v>44</v>
      </c>
      <c r="AD124" s="79" t="s">
        <v>45</v>
      </c>
      <c r="AE124" s="79" t="s">
        <v>46</v>
      </c>
      <c r="AF124" s="79" t="s">
        <v>47</v>
      </c>
      <c r="AG124" s="77" t="s">
        <v>48</v>
      </c>
    </row>
    <row r="125" spans="1:33" ht="30" customHeight="1" x14ac:dyDescent="0.2">
      <c r="A125" s="53">
        <v>223.22</v>
      </c>
      <c r="B125" s="38">
        <f t="shared" si="27"/>
        <v>4</v>
      </c>
      <c r="C125" s="56" t="s">
        <v>313</v>
      </c>
      <c r="D125" s="39" t="str">
        <f t="shared" si="20"/>
        <v xml:space="preserve">                        Rvacs (Intake Vessel)</v>
      </c>
      <c r="E125" s="39" t="s">
        <v>35</v>
      </c>
      <c r="F125" s="39"/>
      <c r="G125" s="45"/>
      <c r="H125" s="45"/>
      <c r="I125" s="45"/>
      <c r="J125" s="66"/>
      <c r="K125" s="61">
        <f>K124</f>
        <v>757.20768746061754</v>
      </c>
      <c r="L125" s="49" t="s">
        <v>186</v>
      </c>
      <c r="M125" s="59" t="s">
        <v>314</v>
      </c>
      <c r="N125" s="49"/>
      <c r="O125" s="49"/>
      <c r="P125" s="49"/>
      <c r="Q125" s="66">
        <v>2017</v>
      </c>
      <c r="R125" s="49" t="s">
        <v>86</v>
      </c>
      <c r="S125" s="59" t="s">
        <v>196</v>
      </c>
      <c r="T125" s="63" t="s">
        <v>197</v>
      </c>
      <c r="U125" s="49"/>
      <c r="V125" s="49"/>
      <c r="W125" s="77" t="s">
        <v>157</v>
      </c>
      <c r="X125" s="80">
        <f t="shared" si="28"/>
        <v>0</v>
      </c>
      <c r="Y125" s="80">
        <f t="shared" si="29"/>
        <v>0</v>
      </c>
      <c r="Z125" s="77" t="s">
        <v>44</v>
      </c>
      <c r="AA125" s="79">
        <f t="shared" si="30"/>
        <v>681.48691871455583</v>
      </c>
      <c r="AB125" s="79">
        <f t="shared" si="31"/>
        <v>984.36999369880277</v>
      </c>
      <c r="AC125" s="77" t="s">
        <v>44</v>
      </c>
      <c r="AD125" s="79" t="s">
        <v>45</v>
      </c>
      <c r="AE125" s="79" t="s">
        <v>46</v>
      </c>
      <c r="AF125" s="79" t="s">
        <v>47</v>
      </c>
      <c r="AG125" s="77" t="s">
        <v>48</v>
      </c>
    </row>
    <row r="126" spans="1:33" ht="30" customHeight="1" x14ac:dyDescent="0.2">
      <c r="A126" s="53">
        <v>226</v>
      </c>
      <c r="B126" s="38">
        <f t="shared" si="27"/>
        <v>2</v>
      </c>
      <c r="C126" s="56" t="s">
        <v>315</v>
      </c>
      <c r="D126" s="39" t="str">
        <f t="shared" si="20"/>
        <v xml:space="preserve">            Other Reactor Plant Equipment</v>
      </c>
      <c r="E126" s="39" t="s">
        <v>35</v>
      </c>
      <c r="F126" s="39" t="s">
        <v>118</v>
      </c>
      <c r="G126" s="45" t="s">
        <v>281</v>
      </c>
      <c r="H126" s="45"/>
      <c r="I126" s="45"/>
      <c r="J126" s="61">
        <f>MARVEL_Cost!C42</f>
        <v>456297</v>
      </c>
      <c r="K126" s="61"/>
      <c r="L126" s="49"/>
      <c r="M126" s="59"/>
      <c r="N126" s="49"/>
      <c r="O126" s="49"/>
      <c r="P126" s="49"/>
      <c r="Q126" s="66">
        <v>2024</v>
      </c>
      <c r="R126" s="49" t="s">
        <v>153</v>
      </c>
      <c r="S126" s="59" t="s">
        <v>316</v>
      </c>
      <c r="T126" s="49"/>
      <c r="U126" s="49"/>
      <c r="V126" s="49"/>
      <c r="W126" s="77" t="s">
        <v>157</v>
      </c>
      <c r="X126" s="80">
        <f t="shared" si="28"/>
        <v>410667.3</v>
      </c>
      <c r="Y126" s="80">
        <f t="shared" si="29"/>
        <v>684445.5</v>
      </c>
      <c r="Z126" s="77" t="s">
        <v>44</v>
      </c>
      <c r="AA126" s="79">
        <f t="shared" si="30"/>
        <v>0</v>
      </c>
      <c r="AB126" s="79">
        <f t="shared" si="31"/>
        <v>0</v>
      </c>
      <c r="AC126" s="77" t="s">
        <v>44</v>
      </c>
      <c r="AD126" s="79" t="s">
        <v>45</v>
      </c>
      <c r="AE126" s="79" t="s">
        <v>46</v>
      </c>
      <c r="AF126" s="79" t="s">
        <v>47</v>
      </c>
      <c r="AG126" s="77" t="s">
        <v>48</v>
      </c>
    </row>
    <row r="127" spans="1:33" ht="30" customHeight="1" x14ac:dyDescent="0.2">
      <c r="A127" s="53">
        <v>226</v>
      </c>
      <c r="B127" s="38">
        <v>2</v>
      </c>
      <c r="C127" s="56" t="s">
        <v>315</v>
      </c>
      <c r="D127" s="39" t="str">
        <f t="shared" si="20"/>
        <v xml:space="preserve">            Other Reactor Plant Equipment</v>
      </c>
      <c r="E127" s="39" t="s">
        <v>35</v>
      </c>
      <c r="F127" s="39" t="s">
        <v>118</v>
      </c>
      <c r="G127" s="45" t="s">
        <v>119</v>
      </c>
      <c r="H127" s="45"/>
      <c r="I127" s="45"/>
      <c r="J127" s="61"/>
      <c r="K127" s="61">
        <f>8844770/N127*8.15527886031535</f>
        <v>118207.77405377067</v>
      </c>
      <c r="L127" s="49" t="s">
        <v>275</v>
      </c>
      <c r="M127" s="59" t="s">
        <v>317</v>
      </c>
      <c r="N127" s="49">
        <v>610.21</v>
      </c>
      <c r="O127" s="49" t="s">
        <v>318</v>
      </c>
      <c r="P127" s="49">
        <v>0.6</v>
      </c>
      <c r="Q127" s="66">
        <v>2023</v>
      </c>
      <c r="R127" s="49" t="s">
        <v>86</v>
      </c>
      <c r="S127" s="59" t="s">
        <v>319</v>
      </c>
      <c r="T127" s="49" t="s">
        <v>320</v>
      </c>
      <c r="U127" s="75" t="s">
        <v>321</v>
      </c>
      <c r="V127" s="49" t="s">
        <v>322</v>
      </c>
      <c r="W127" s="77" t="s">
        <v>157</v>
      </c>
      <c r="X127" s="80">
        <f t="shared" si="28"/>
        <v>0</v>
      </c>
      <c r="Y127" s="80">
        <f t="shared" si="29"/>
        <v>0</v>
      </c>
      <c r="Z127" s="77" t="s">
        <v>44</v>
      </c>
      <c r="AA127" s="79">
        <f t="shared" si="30"/>
        <v>106386.9966483936</v>
      </c>
      <c r="AB127" s="79">
        <f t="shared" si="31"/>
        <v>153670.10626990188</v>
      </c>
      <c r="AC127" s="77" t="s">
        <v>44</v>
      </c>
      <c r="AD127" s="79" t="s">
        <v>45</v>
      </c>
      <c r="AE127" s="79" t="s">
        <v>46</v>
      </c>
      <c r="AF127" s="79" t="s">
        <v>47</v>
      </c>
      <c r="AG127" s="77" t="s">
        <v>48</v>
      </c>
    </row>
    <row r="128" spans="1:33" ht="43" customHeight="1" x14ac:dyDescent="0.2">
      <c r="A128" s="53">
        <v>227</v>
      </c>
      <c r="B128" s="38">
        <f>IF(ISNUMBER(A128),
    IF(AND(A128=INT(A128), MOD(A128, 10) = 0), 0,
        IF(AND(A128=INT(A128), LEN(A128)=2), 1,
            IF(AND(A128=INT(A128), LEN(A128)=3), 2,
                LEN(A128) - FIND(".", A128) + 2)
        )
    ),
"")</f>
        <v>2</v>
      </c>
      <c r="C128" s="56" t="s">
        <v>323</v>
      </c>
      <c r="D128" s="39" t="str">
        <f t="shared" si="20"/>
        <v xml:space="preserve">            Reactor Instrumentation and Control (I&amp;C)</v>
      </c>
      <c r="E128" s="39" t="s">
        <v>35</v>
      </c>
      <c r="F128" s="39"/>
      <c r="G128" s="45"/>
      <c r="H128" s="45"/>
      <c r="I128" s="45"/>
      <c r="J128" s="61">
        <v>8500000</v>
      </c>
      <c r="K128" s="61"/>
      <c r="L128" s="49"/>
      <c r="M128" s="59"/>
      <c r="N128" s="49"/>
      <c r="O128" s="49"/>
      <c r="P128" s="49"/>
      <c r="Q128" s="66">
        <v>2023</v>
      </c>
      <c r="R128" s="49" t="s">
        <v>73</v>
      </c>
      <c r="S128" s="59" t="s">
        <v>324</v>
      </c>
      <c r="T128" s="59" t="s">
        <v>325</v>
      </c>
      <c r="U128" s="75" t="s">
        <v>326</v>
      </c>
      <c r="V128" s="49" t="s">
        <v>327</v>
      </c>
      <c r="W128" s="77" t="s">
        <v>157</v>
      </c>
      <c r="X128" s="80">
        <f t="shared" si="28"/>
        <v>7650000</v>
      </c>
      <c r="Y128" s="80">
        <f t="shared" si="29"/>
        <v>12750000</v>
      </c>
      <c r="Z128" s="77" t="s">
        <v>44</v>
      </c>
      <c r="AA128" s="79">
        <f t="shared" si="30"/>
        <v>0</v>
      </c>
      <c r="AB128" s="79">
        <f t="shared" si="31"/>
        <v>0</v>
      </c>
      <c r="AC128" s="77" t="s">
        <v>44</v>
      </c>
      <c r="AD128" s="79" t="s">
        <v>45</v>
      </c>
      <c r="AE128" s="79" t="s">
        <v>46</v>
      </c>
      <c r="AF128" s="79" t="s">
        <v>47</v>
      </c>
      <c r="AG128" s="77" t="s">
        <v>48</v>
      </c>
    </row>
    <row r="129" spans="1:33" ht="15" customHeight="1" x14ac:dyDescent="0.2">
      <c r="A129" s="53">
        <v>228</v>
      </c>
      <c r="B129" s="38">
        <f t="shared" ref="B129:B145" si="32">IF(ISNUMBER(A129),
IF(AND(A129=INT(A129), MOD(A129, 10) = 0), 0,
IF(AND(A129=INT(A129), LEN(A129)=2), 1,
IF(AND(A129=INT(A129), LEN(A129)=3), 2,
LEN(A129) - FIND(".", A129) + 2)
)
),
"")</f>
        <v>2</v>
      </c>
      <c r="C129" s="56" t="s">
        <v>328</v>
      </c>
      <c r="D129" s="39" t="str">
        <f t="shared" si="20"/>
        <v xml:space="preserve">            Reactor Plant Miscellaneous Items</v>
      </c>
      <c r="E129" s="39" t="s">
        <v>35</v>
      </c>
      <c r="F129" s="39"/>
      <c r="G129" s="45"/>
      <c r="H129" s="45"/>
      <c r="I129" s="45"/>
      <c r="J129" s="61">
        <f>MARVEL_Cost!C44</f>
        <v>30960</v>
      </c>
      <c r="K129" s="61"/>
      <c r="L129" s="49"/>
      <c r="M129" s="59"/>
      <c r="N129" s="49"/>
      <c r="O129" s="49"/>
      <c r="P129" s="49"/>
      <c r="Q129" s="66">
        <v>2024</v>
      </c>
      <c r="R129" s="49" t="s">
        <v>86</v>
      </c>
      <c r="S129" s="59" t="s">
        <v>316</v>
      </c>
      <c r="T129" s="49"/>
      <c r="U129" s="49"/>
      <c r="V129" s="49"/>
      <c r="W129" s="77" t="s">
        <v>157</v>
      </c>
      <c r="X129" s="80">
        <f t="shared" si="28"/>
        <v>27864</v>
      </c>
      <c r="Y129" s="80">
        <f t="shared" si="29"/>
        <v>46440</v>
      </c>
      <c r="Z129" s="77" t="s">
        <v>44</v>
      </c>
      <c r="AA129" s="79">
        <f t="shared" si="30"/>
        <v>0</v>
      </c>
      <c r="AB129" s="79">
        <f t="shared" si="31"/>
        <v>0</v>
      </c>
      <c r="AC129" s="77" t="s">
        <v>44</v>
      </c>
      <c r="AD129" s="79" t="s">
        <v>45</v>
      </c>
      <c r="AE129" s="79" t="s">
        <v>46</v>
      </c>
      <c r="AF129" s="79" t="s">
        <v>47</v>
      </c>
      <c r="AG129" s="77" t="s">
        <v>48</v>
      </c>
    </row>
    <row r="130" spans="1:33" ht="15" customHeight="1" x14ac:dyDescent="0.2">
      <c r="A130" s="37">
        <v>23</v>
      </c>
      <c r="B130" s="38">
        <f t="shared" si="32"/>
        <v>1</v>
      </c>
      <c r="C130" s="56" t="s">
        <v>329</v>
      </c>
      <c r="D130" s="39" t="str">
        <f t="shared" ref="D130:D161" si="33">REPT("   ", B130*2) &amp; C130</f>
        <v xml:space="preserve">      Energy Conversion System </v>
      </c>
      <c r="E130" s="39"/>
      <c r="F130" s="39"/>
      <c r="G130" s="45"/>
      <c r="H130" s="45"/>
      <c r="I130" s="45"/>
      <c r="J130" s="66"/>
      <c r="K130" s="61"/>
      <c r="L130" s="49"/>
      <c r="M130" s="59"/>
      <c r="N130" s="49"/>
      <c r="O130" s="49"/>
      <c r="P130" s="49"/>
      <c r="Q130" s="66"/>
      <c r="R130" s="49"/>
      <c r="S130" s="59"/>
      <c r="T130" s="49"/>
      <c r="U130" s="49"/>
      <c r="V130" s="49"/>
      <c r="W130" s="77"/>
      <c r="X130" s="80"/>
      <c r="Y130" s="80"/>
      <c r="Z130" s="77"/>
      <c r="AA130" s="79"/>
      <c r="AB130" s="79"/>
      <c r="AC130" s="77"/>
      <c r="AD130" s="79"/>
      <c r="AE130" s="79"/>
      <c r="AF130" s="79"/>
      <c r="AG130" s="77"/>
    </row>
    <row r="131" spans="1:33" ht="15" customHeight="1" x14ac:dyDescent="0.2">
      <c r="A131" s="53">
        <v>232</v>
      </c>
      <c r="B131" s="38">
        <f t="shared" si="32"/>
        <v>2</v>
      </c>
      <c r="C131" s="56" t="s">
        <v>330</v>
      </c>
      <c r="D131" s="39" t="str">
        <f t="shared" si="33"/>
        <v xml:space="preserve">            Energy Applications</v>
      </c>
      <c r="E131" s="39"/>
      <c r="F131" s="39"/>
      <c r="G131" s="45"/>
      <c r="H131" s="45"/>
      <c r="I131" s="45"/>
      <c r="J131" s="66"/>
      <c r="K131" s="61"/>
      <c r="L131" s="49"/>
      <c r="M131" s="59"/>
      <c r="N131" s="49"/>
      <c r="O131" s="49"/>
      <c r="P131" s="49"/>
      <c r="Q131" s="66"/>
      <c r="R131" s="49"/>
      <c r="S131" s="59"/>
      <c r="T131" s="49"/>
      <c r="U131" s="49"/>
      <c r="V131" s="49"/>
      <c r="W131" s="77"/>
      <c r="X131" s="80"/>
      <c r="Y131" s="80"/>
      <c r="Z131" s="77"/>
      <c r="AA131" s="79"/>
      <c r="AB131" s="79"/>
      <c r="AC131" s="77"/>
      <c r="AD131" s="79"/>
      <c r="AE131" s="79"/>
      <c r="AF131" s="79"/>
      <c r="AG131" s="77"/>
    </row>
    <row r="132" spans="1:33" ht="15" customHeight="1" x14ac:dyDescent="0.2">
      <c r="A132" s="53">
        <v>232.1</v>
      </c>
      <c r="B132" s="38">
        <f t="shared" si="32"/>
        <v>3</v>
      </c>
      <c r="C132" s="56" t="s">
        <v>331</v>
      </c>
      <c r="D132" s="39" t="str">
        <f t="shared" si="33"/>
        <v xml:space="preserve">                  Electricity Generation Systems</v>
      </c>
      <c r="E132" s="39" t="s">
        <v>35</v>
      </c>
      <c r="F132" s="39"/>
      <c r="G132" s="45"/>
      <c r="H132" s="45"/>
      <c r="I132" s="45"/>
      <c r="J132" s="66"/>
      <c r="K132" s="43">
        <v>12504</v>
      </c>
      <c r="L132" s="49" t="s">
        <v>332</v>
      </c>
      <c r="M132" s="45" t="s">
        <v>333</v>
      </c>
      <c r="N132" s="49">
        <v>1</v>
      </c>
      <c r="O132" s="49"/>
      <c r="P132" s="45">
        <v>0.77700000000000002</v>
      </c>
      <c r="Q132" s="66">
        <v>2023</v>
      </c>
      <c r="R132" s="49" t="s">
        <v>86</v>
      </c>
      <c r="S132" s="59" t="s">
        <v>334</v>
      </c>
      <c r="T132" s="59" t="s">
        <v>334</v>
      </c>
      <c r="U132" s="75" t="s">
        <v>335</v>
      </c>
      <c r="V132" s="49"/>
      <c r="W132" s="77" t="s">
        <v>336</v>
      </c>
      <c r="X132" s="80">
        <f>0.9*$J132</f>
        <v>0</v>
      </c>
      <c r="Y132" s="80">
        <f>1.5*J132</f>
        <v>0</v>
      </c>
      <c r="Z132" s="77" t="s">
        <v>44</v>
      </c>
      <c r="AA132" s="79">
        <f>0.9*K132</f>
        <v>11253.6</v>
      </c>
      <c r="AB132" s="79">
        <f>1.3*K132</f>
        <v>16255.2</v>
      </c>
      <c r="AC132" s="77" t="s">
        <v>44</v>
      </c>
      <c r="AD132" s="79" t="s">
        <v>45</v>
      </c>
      <c r="AE132" s="79" t="s">
        <v>46</v>
      </c>
      <c r="AF132" s="79" t="s">
        <v>47</v>
      </c>
      <c r="AG132" s="77" t="s">
        <v>48</v>
      </c>
    </row>
    <row r="133" spans="1:33" ht="43" customHeight="1" x14ac:dyDescent="0.2">
      <c r="A133" s="53">
        <v>236</v>
      </c>
      <c r="B133" s="38">
        <f t="shared" si="32"/>
        <v>2</v>
      </c>
      <c r="C133" s="56" t="s">
        <v>337</v>
      </c>
      <c r="D133" s="39" t="str">
        <f t="shared" si="33"/>
        <v xml:space="preserve">            Common Instrumentation &amp; Controls</v>
      </c>
      <c r="E133" s="39" t="s">
        <v>35</v>
      </c>
      <c r="F133" s="39"/>
      <c r="G133" s="45"/>
      <c r="H133" s="45"/>
      <c r="I133" s="45"/>
      <c r="J133" s="43">
        <v>1000000</v>
      </c>
      <c r="K133" s="43"/>
      <c r="L133" s="49"/>
      <c r="M133" s="45"/>
      <c r="N133" s="49"/>
      <c r="O133" s="49"/>
      <c r="P133" s="45"/>
      <c r="Q133" s="66">
        <v>2023</v>
      </c>
      <c r="R133" s="49" t="s">
        <v>86</v>
      </c>
      <c r="S133" s="59" t="s">
        <v>324</v>
      </c>
      <c r="T133" s="59" t="s">
        <v>325</v>
      </c>
      <c r="U133" s="75" t="s">
        <v>326</v>
      </c>
      <c r="V133" s="49"/>
      <c r="W133" s="77" t="s">
        <v>157</v>
      </c>
      <c r="X133" s="80">
        <f>0.9*$J133</f>
        <v>900000</v>
      </c>
      <c r="Y133" s="80">
        <f>1.5*J133</f>
        <v>1500000</v>
      </c>
      <c r="Z133" s="77" t="s">
        <v>44</v>
      </c>
      <c r="AA133" s="79"/>
      <c r="AB133" s="79"/>
      <c r="AC133" s="77"/>
      <c r="AD133" s="79"/>
      <c r="AE133" s="79"/>
      <c r="AF133" s="79"/>
      <c r="AG133" s="77"/>
    </row>
    <row r="134" spans="1:33" ht="15" customHeight="1" x14ac:dyDescent="0.2">
      <c r="A134" s="37">
        <v>24</v>
      </c>
      <c r="B134" s="38">
        <f t="shared" si="32"/>
        <v>1</v>
      </c>
      <c r="C134" s="56" t="s">
        <v>338</v>
      </c>
      <c r="D134" s="39" t="str">
        <f t="shared" si="33"/>
        <v xml:space="preserve">      Electrical Equipment</v>
      </c>
      <c r="E134" s="39"/>
      <c r="F134" s="39"/>
      <c r="G134" s="45"/>
      <c r="H134" s="45"/>
      <c r="I134" s="45"/>
      <c r="J134" s="66"/>
      <c r="K134" s="61"/>
      <c r="L134" s="49"/>
      <c r="M134" s="59"/>
      <c r="N134" s="49"/>
      <c r="O134" s="49"/>
      <c r="P134" s="49"/>
      <c r="Q134" s="66"/>
      <c r="R134" s="49"/>
      <c r="S134" s="59"/>
      <c r="T134" s="49"/>
      <c r="U134" s="49"/>
      <c r="V134" s="49"/>
      <c r="W134" s="77"/>
      <c r="X134" s="80"/>
      <c r="Y134" s="80"/>
      <c r="Z134" s="77"/>
      <c r="AA134" s="79"/>
      <c r="AB134" s="79"/>
      <c r="AC134" s="77"/>
      <c r="AD134" s="79"/>
      <c r="AE134" s="79"/>
      <c r="AF134" s="79"/>
      <c r="AG134" s="77"/>
    </row>
    <row r="135" spans="1:33" ht="15" customHeight="1" x14ac:dyDescent="0.2">
      <c r="A135" s="37">
        <v>241</v>
      </c>
      <c r="B135" s="38">
        <f t="shared" si="32"/>
        <v>2</v>
      </c>
      <c r="C135" s="76" t="s">
        <v>339</v>
      </c>
      <c r="D135" s="39" t="str">
        <f t="shared" si="33"/>
        <v xml:space="preserve">            Switchgear</v>
      </c>
      <c r="E135" s="39" t="s">
        <v>35</v>
      </c>
      <c r="F135" s="39"/>
      <c r="G135" s="45"/>
      <c r="H135" s="45"/>
      <c r="I135" s="45"/>
      <c r="J135" s="66"/>
      <c r="K135" s="61">
        <f>14424707.2061682/N135</f>
        <v>12609.009795601574</v>
      </c>
      <c r="L135" s="49" t="s">
        <v>50</v>
      </c>
      <c r="M135" s="45" t="s">
        <v>51</v>
      </c>
      <c r="N135" s="49">
        <v>1144</v>
      </c>
      <c r="O135" s="49" t="s">
        <v>52</v>
      </c>
      <c r="P135" s="45">
        <v>0.6</v>
      </c>
      <c r="Q135" s="66">
        <v>2018</v>
      </c>
      <c r="R135" s="49" t="s">
        <v>86</v>
      </c>
      <c r="S135" s="145" t="s">
        <v>340</v>
      </c>
      <c r="T135" s="145" t="s">
        <v>341</v>
      </c>
      <c r="U135" s="49"/>
      <c r="V135" s="49"/>
      <c r="W135" s="77" t="s">
        <v>336</v>
      </c>
      <c r="X135" s="80">
        <f t="shared" ref="X135:X140" si="34">0.9*$J135</f>
        <v>0</v>
      </c>
      <c r="Y135" s="80">
        <f t="shared" ref="Y135:Y140" si="35">1.5*J135</f>
        <v>0</v>
      </c>
      <c r="Z135" s="77"/>
      <c r="AA135" s="79">
        <f t="shared" ref="AA135:AA140" si="36">0.9*K135</f>
        <v>11348.108816041417</v>
      </c>
      <c r="AB135" s="79">
        <f t="shared" ref="AB135:AB140" si="37">1.3*K135</f>
        <v>16391.712734282046</v>
      </c>
      <c r="AC135" s="77" t="s">
        <v>44</v>
      </c>
      <c r="AD135" s="79">
        <v>0.1</v>
      </c>
      <c r="AE135" s="79">
        <v>1</v>
      </c>
      <c r="AF135" s="79">
        <v>0</v>
      </c>
      <c r="AG135" s="77" t="s">
        <v>48</v>
      </c>
    </row>
    <row r="136" spans="1:33" ht="15" customHeight="1" x14ac:dyDescent="0.2">
      <c r="A136" s="37">
        <v>242</v>
      </c>
      <c r="B136" s="38">
        <f t="shared" si="32"/>
        <v>2</v>
      </c>
      <c r="C136" s="76" t="s">
        <v>342</v>
      </c>
      <c r="D136" s="39" t="str">
        <f t="shared" si="33"/>
        <v xml:space="preserve">            Station Service Equipment</v>
      </c>
      <c r="E136" s="39" t="s">
        <v>35</v>
      </c>
      <c r="F136" s="39"/>
      <c r="G136" s="45"/>
      <c r="H136" s="45"/>
      <c r="I136" s="45"/>
      <c r="J136" s="66"/>
      <c r="K136" s="61">
        <f>11992641.3775456/N135</f>
        <v>10483.078127225175</v>
      </c>
      <c r="L136" s="49" t="s">
        <v>50</v>
      </c>
      <c r="M136" s="45" t="s">
        <v>51</v>
      </c>
      <c r="N136" s="49">
        <v>1144</v>
      </c>
      <c r="O136" s="49" t="s">
        <v>52</v>
      </c>
      <c r="P136" s="45">
        <v>0.6</v>
      </c>
      <c r="Q136" s="66">
        <v>2018</v>
      </c>
      <c r="R136" s="49" t="s">
        <v>86</v>
      </c>
      <c r="S136" s="142"/>
      <c r="T136" s="142"/>
      <c r="U136" s="49"/>
      <c r="V136" s="49"/>
      <c r="W136" s="77" t="s">
        <v>336</v>
      </c>
      <c r="X136" s="80">
        <f t="shared" si="34"/>
        <v>0</v>
      </c>
      <c r="Y136" s="80">
        <f t="shared" si="35"/>
        <v>0</v>
      </c>
      <c r="Z136" s="77"/>
      <c r="AA136" s="79">
        <f t="shared" si="36"/>
        <v>9434.7703145026571</v>
      </c>
      <c r="AB136" s="79">
        <f t="shared" si="37"/>
        <v>13628.001565392728</v>
      </c>
      <c r="AC136" s="77" t="s">
        <v>44</v>
      </c>
      <c r="AD136" s="79">
        <v>0.1</v>
      </c>
      <c r="AE136" s="79">
        <v>1</v>
      </c>
      <c r="AF136" s="79">
        <v>0</v>
      </c>
      <c r="AG136" s="77" t="s">
        <v>48</v>
      </c>
    </row>
    <row r="137" spans="1:33" ht="15" customHeight="1" x14ac:dyDescent="0.2">
      <c r="A137" s="37">
        <v>243</v>
      </c>
      <c r="B137" s="38">
        <f t="shared" si="32"/>
        <v>2</v>
      </c>
      <c r="C137" s="76" t="s">
        <v>343</v>
      </c>
      <c r="D137" s="39" t="str">
        <f t="shared" si="33"/>
        <v xml:space="preserve">            Switchboards</v>
      </c>
      <c r="E137" s="39" t="s">
        <v>35</v>
      </c>
      <c r="F137" s="39"/>
      <c r="G137" s="45"/>
      <c r="H137" s="45"/>
      <c r="I137" s="45"/>
      <c r="J137" s="66"/>
      <c r="K137" s="61">
        <f>3894246.37400843/N135</f>
        <v>3404.0615157416346</v>
      </c>
      <c r="L137" s="49" t="s">
        <v>50</v>
      </c>
      <c r="M137" s="45" t="s">
        <v>51</v>
      </c>
      <c r="N137" s="49">
        <v>1144</v>
      </c>
      <c r="O137" s="49" t="s">
        <v>52</v>
      </c>
      <c r="P137" s="45">
        <v>0.6</v>
      </c>
      <c r="Q137" s="66">
        <v>2018</v>
      </c>
      <c r="R137" s="49" t="s">
        <v>86</v>
      </c>
      <c r="S137" s="142"/>
      <c r="T137" s="142"/>
      <c r="U137" s="49"/>
      <c r="V137" s="49"/>
      <c r="W137" s="77" t="s">
        <v>336</v>
      </c>
      <c r="X137" s="80">
        <f t="shared" si="34"/>
        <v>0</v>
      </c>
      <c r="Y137" s="80">
        <f t="shared" si="35"/>
        <v>0</v>
      </c>
      <c r="Z137" s="77"/>
      <c r="AA137" s="79">
        <f t="shared" si="36"/>
        <v>3063.6553641674714</v>
      </c>
      <c r="AB137" s="79">
        <f t="shared" si="37"/>
        <v>4425.2799704641247</v>
      </c>
      <c r="AC137" s="77" t="s">
        <v>44</v>
      </c>
      <c r="AD137" s="79">
        <v>0.1</v>
      </c>
      <c r="AE137" s="79">
        <v>1</v>
      </c>
      <c r="AF137" s="79">
        <v>0</v>
      </c>
      <c r="AG137" s="77" t="s">
        <v>48</v>
      </c>
    </row>
    <row r="138" spans="1:33" ht="15" customHeight="1" x14ac:dyDescent="0.2">
      <c r="A138" s="37">
        <v>244</v>
      </c>
      <c r="B138" s="38">
        <f t="shared" si="32"/>
        <v>2</v>
      </c>
      <c r="C138" s="76" t="s">
        <v>344</v>
      </c>
      <c r="D138" s="39" t="str">
        <f t="shared" si="33"/>
        <v xml:space="preserve">            Protective Equipment</v>
      </c>
      <c r="E138" s="39" t="s">
        <v>35</v>
      </c>
      <c r="F138" s="39"/>
      <c r="G138" s="45"/>
      <c r="H138" s="45"/>
      <c r="I138" s="45"/>
      <c r="J138" s="66"/>
      <c r="K138" s="61">
        <f>11183911.9256997/N135</f>
        <v>9776.1467881990375</v>
      </c>
      <c r="L138" s="49" t="s">
        <v>50</v>
      </c>
      <c r="M138" s="45" t="s">
        <v>51</v>
      </c>
      <c r="N138" s="49">
        <v>1144</v>
      </c>
      <c r="O138" s="49" t="s">
        <v>52</v>
      </c>
      <c r="P138" s="45">
        <v>0.6</v>
      </c>
      <c r="Q138" s="66">
        <v>2018</v>
      </c>
      <c r="R138" s="49" t="s">
        <v>86</v>
      </c>
      <c r="S138" s="142"/>
      <c r="T138" s="142"/>
      <c r="U138" s="49"/>
      <c r="V138" s="49"/>
      <c r="W138" s="77" t="s">
        <v>336</v>
      </c>
      <c r="X138" s="80">
        <f t="shared" si="34"/>
        <v>0</v>
      </c>
      <c r="Y138" s="80">
        <f t="shared" si="35"/>
        <v>0</v>
      </c>
      <c r="Z138" s="77"/>
      <c r="AA138" s="79">
        <f t="shared" si="36"/>
        <v>8798.5321093791335</v>
      </c>
      <c r="AB138" s="79">
        <f t="shared" si="37"/>
        <v>12708.990824658749</v>
      </c>
      <c r="AC138" s="77" t="s">
        <v>44</v>
      </c>
      <c r="AD138" s="79">
        <v>0.1</v>
      </c>
      <c r="AE138" s="79">
        <v>1</v>
      </c>
      <c r="AF138" s="79">
        <v>0</v>
      </c>
      <c r="AG138" s="77" t="s">
        <v>48</v>
      </c>
    </row>
    <row r="139" spans="1:33" ht="15" customHeight="1" x14ac:dyDescent="0.2">
      <c r="A139" s="37">
        <v>245</v>
      </c>
      <c r="B139" s="38">
        <f t="shared" si="32"/>
        <v>2</v>
      </c>
      <c r="C139" s="76" t="s">
        <v>345</v>
      </c>
      <c r="D139" s="39" t="str">
        <f t="shared" si="33"/>
        <v xml:space="preserve">            Electrical Structure &amp; Wiring Container</v>
      </c>
      <c r="E139" s="39" t="s">
        <v>35</v>
      </c>
      <c r="F139" s="39"/>
      <c r="G139" s="45"/>
      <c r="H139" s="45"/>
      <c r="I139" s="45"/>
      <c r="J139" s="66"/>
      <c r="K139" s="61">
        <f>60312483.673456/N135</f>
        <v>52720.70251176224</v>
      </c>
      <c r="L139" s="49" t="s">
        <v>50</v>
      </c>
      <c r="M139" s="45" t="s">
        <v>51</v>
      </c>
      <c r="N139" s="49">
        <v>1144</v>
      </c>
      <c r="O139" s="49" t="s">
        <v>52</v>
      </c>
      <c r="P139" s="45">
        <v>0.6</v>
      </c>
      <c r="Q139" s="66">
        <v>2018</v>
      </c>
      <c r="R139" s="49" t="s">
        <v>86</v>
      </c>
      <c r="S139" s="142"/>
      <c r="T139" s="142"/>
      <c r="U139" s="49"/>
      <c r="V139" s="49"/>
      <c r="W139" s="77" t="s">
        <v>336</v>
      </c>
      <c r="X139" s="80">
        <f t="shared" si="34"/>
        <v>0</v>
      </c>
      <c r="Y139" s="80">
        <f t="shared" si="35"/>
        <v>0</v>
      </c>
      <c r="Z139" s="77"/>
      <c r="AA139" s="79">
        <f t="shared" si="36"/>
        <v>47448.632260586019</v>
      </c>
      <c r="AB139" s="79">
        <f t="shared" si="37"/>
        <v>68536.913265290917</v>
      </c>
      <c r="AC139" s="77" t="s">
        <v>44</v>
      </c>
      <c r="AD139" s="79">
        <v>0.1</v>
      </c>
      <c r="AE139" s="79">
        <v>1</v>
      </c>
      <c r="AF139" s="79">
        <v>0</v>
      </c>
      <c r="AG139" s="77" t="s">
        <v>48</v>
      </c>
    </row>
    <row r="140" spans="1:33" ht="15" customHeight="1" x14ac:dyDescent="0.2">
      <c r="A140" s="37">
        <v>246</v>
      </c>
      <c r="B140" s="38">
        <f t="shared" si="32"/>
        <v>2</v>
      </c>
      <c r="C140" s="76" t="s">
        <v>346</v>
      </c>
      <c r="D140" s="39" t="str">
        <f t="shared" si="33"/>
        <v xml:space="preserve">            Power &amp; Control Wiring</v>
      </c>
      <c r="E140" s="39" t="s">
        <v>35</v>
      </c>
      <c r="F140" s="39"/>
      <c r="G140" s="45"/>
      <c r="H140" s="45"/>
      <c r="I140" s="45"/>
      <c r="J140" s="66"/>
      <c r="K140" s="61">
        <f>45613077.4753702/N135</f>
        <v>39871.571219729194</v>
      </c>
      <c r="L140" s="49" t="s">
        <v>50</v>
      </c>
      <c r="M140" s="45" t="s">
        <v>51</v>
      </c>
      <c r="N140" s="49">
        <v>1144</v>
      </c>
      <c r="O140" s="49" t="s">
        <v>52</v>
      </c>
      <c r="P140" s="45">
        <v>0.6</v>
      </c>
      <c r="Q140" s="66">
        <v>2018</v>
      </c>
      <c r="R140" s="49" t="s">
        <v>86</v>
      </c>
      <c r="S140" s="143"/>
      <c r="T140" s="143"/>
      <c r="U140" s="49"/>
      <c r="V140" s="49"/>
      <c r="W140" s="77" t="s">
        <v>336</v>
      </c>
      <c r="X140" s="80">
        <f t="shared" si="34"/>
        <v>0</v>
      </c>
      <c r="Y140" s="80">
        <f t="shared" si="35"/>
        <v>0</v>
      </c>
      <c r="Z140" s="77"/>
      <c r="AA140" s="79">
        <f t="shared" si="36"/>
        <v>35884.414097756278</v>
      </c>
      <c r="AB140" s="79">
        <f t="shared" si="37"/>
        <v>51833.042585647956</v>
      </c>
      <c r="AC140" s="77" t="s">
        <v>44</v>
      </c>
      <c r="AD140" s="79">
        <v>0.1</v>
      </c>
      <c r="AE140" s="79">
        <v>1</v>
      </c>
      <c r="AF140" s="79">
        <v>0</v>
      </c>
      <c r="AG140" s="77" t="s">
        <v>48</v>
      </c>
    </row>
    <row r="141" spans="1:33" ht="15" customHeight="1" x14ac:dyDescent="0.2">
      <c r="A141" s="37">
        <v>25</v>
      </c>
      <c r="B141" s="38">
        <f t="shared" si="32"/>
        <v>1</v>
      </c>
      <c r="C141" s="56" t="s">
        <v>347</v>
      </c>
      <c r="D141" s="39" t="str">
        <f t="shared" si="33"/>
        <v xml:space="preserve">      Initial Fuel Inventory</v>
      </c>
      <c r="E141" s="39"/>
      <c r="F141" s="39"/>
      <c r="G141" s="45"/>
      <c r="H141" s="45"/>
      <c r="I141" s="45"/>
      <c r="J141" s="66"/>
      <c r="K141" s="61"/>
      <c r="L141" s="49"/>
      <c r="M141" s="59"/>
      <c r="N141" s="49"/>
      <c r="O141" s="49"/>
      <c r="P141" s="49"/>
      <c r="Q141" s="66"/>
      <c r="R141" s="49"/>
      <c r="S141" s="59"/>
      <c r="T141" s="49"/>
      <c r="U141" s="49"/>
      <c r="V141" s="49"/>
      <c r="W141" s="77"/>
      <c r="X141" s="80"/>
      <c r="Y141" s="80"/>
      <c r="Z141" s="77"/>
      <c r="AA141" s="79"/>
      <c r="AB141" s="79"/>
      <c r="AC141" s="77"/>
      <c r="AD141" s="79"/>
      <c r="AE141" s="79"/>
      <c r="AF141" s="79"/>
      <c r="AG141" s="77"/>
    </row>
    <row r="142" spans="1:33" ht="16.25" customHeight="1" x14ac:dyDescent="0.2">
      <c r="A142" s="53">
        <v>251</v>
      </c>
      <c r="B142" s="38">
        <f t="shared" si="32"/>
        <v>2</v>
      </c>
      <c r="C142" s="56" t="s">
        <v>348</v>
      </c>
      <c r="D142" s="39" t="str">
        <f t="shared" si="33"/>
        <v xml:space="preserve">            First Core Mining</v>
      </c>
      <c r="E142" s="39" t="s">
        <v>35</v>
      </c>
      <c r="F142" s="39"/>
      <c r="G142" s="45"/>
      <c r="H142" s="45"/>
      <c r="I142" s="45"/>
      <c r="J142" s="66"/>
      <c r="K142" s="66">
        <v>184</v>
      </c>
      <c r="L142" s="49" t="s">
        <v>186</v>
      </c>
      <c r="M142" s="45" t="s">
        <v>349</v>
      </c>
      <c r="N142" s="49"/>
      <c r="O142" s="49"/>
      <c r="P142" s="49"/>
      <c r="Q142" s="66">
        <v>2022</v>
      </c>
      <c r="R142" s="49" t="s">
        <v>219</v>
      </c>
      <c r="S142" s="144" t="s">
        <v>350</v>
      </c>
      <c r="T142" s="144" t="s">
        <v>351</v>
      </c>
      <c r="U142" s="49"/>
      <c r="V142" s="49"/>
      <c r="W142" s="77" t="s">
        <v>43</v>
      </c>
      <c r="X142" s="80">
        <f t="shared" ref="X142:X148" si="38">0.9*$J142</f>
        <v>0</v>
      </c>
      <c r="Y142" s="80">
        <f t="shared" ref="Y142:Y148" si="39">1.5*J142</f>
        <v>0</v>
      </c>
      <c r="Z142" s="77" t="s">
        <v>44</v>
      </c>
      <c r="AA142" s="79">
        <f t="shared" ref="AA142:AA148" si="40">0.9*K142</f>
        <v>165.6</v>
      </c>
      <c r="AB142" s="79">
        <f t="shared" ref="AB142:AB148" si="41">1.3*K142</f>
        <v>239.20000000000002</v>
      </c>
      <c r="AC142" s="77" t="s">
        <v>44</v>
      </c>
      <c r="AD142" s="79" t="s">
        <v>45</v>
      </c>
      <c r="AE142" s="79" t="s">
        <v>46</v>
      </c>
      <c r="AF142" s="79" t="s">
        <v>47</v>
      </c>
      <c r="AG142" s="77" t="s">
        <v>48</v>
      </c>
    </row>
    <row r="143" spans="1:33" ht="15" customHeight="1" x14ac:dyDescent="0.2">
      <c r="A143" s="53">
        <v>252</v>
      </c>
      <c r="B143" s="38">
        <f t="shared" si="32"/>
        <v>2</v>
      </c>
      <c r="C143" s="56" t="s">
        <v>352</v>
      </c>
      <c r="D143" s="39" t="str">
        <f t="shared" si="33"/>
        <v xml:space="preserve">            First Core Conversion </v>
      </c>
      <c r="E143" s="39" t="s">
        <v>35</v>
      </c>
      <c r="F143" s="39"/>
      <c r="G143" s="45"/>
      <c r="H143" s="45"/>
      <c r="I143" s="45"/>
      <c r="J143" s="66"/>
      <c r="K143" s="66">
        <v>15.1</v>
      </c>
      <c r="L143" s="49" t="s">
        <v>186</v>
      </c>
      <c r="M143" s="45" t="s">
        <v>349</v>
      </c>
      <c r="N143" s="49"/>
      <c r="O143" s="49"/>
      <c r="P143" s="49"/>
      <c r="Q143" s="66">
        <v>2022</v>
      </c>
      <c r="R143" s="49" t="s">
        <v>219</v>
      </c>
      <c r="S143" s="142"/>
      <c r="T143" s="142"/>
      <c r="U143" s="49"/>
      <c r="V143" s="49"/>
      <c r="W143" s="77" t="s">
        <v>43</v>
      </c>
      <c r="X143" s="80">
        <f t="shared" si="38"/>
        <v>0</v>
      </c>
      <c r="Y143" s="80">
        <f t="shared" si="39"/>
        <v>0</v>
      </c>
      <c r="Z143" s="77" t="s">
        <v>44</v>
      </c>
      <c r="AA143" s="79">
        <f t="shared" si="40"/>
        <v>13.59</v>
      </c>
      <c r="AB143" s="79">
        <f t="shared" si="41"/>
        <v>19.63</v>
      </c>
      <c r="AC143" s="77" t="s">
        <v>44</v>
      </c>
      <c r="AD143" s="79" t="s">
        <v>45</v>
      </c>
      <c r="AE143" s="79" t="s">
        <v>46</v>
      </c>
      <c r="AF143" s="79" t="s">
        <v>47</v>
      </c>
      <c r="AG143" s="77" t="s">
        <v>48</v>
      </c>
    </row>
    <row r="144" spans="1:33" ht="15" customHeight="1" x14ac:dyDescent="0.2">
      <c r="A144" s="53">
        <v>253</v>
      </c>
      <c r="B144" s="38">
        <f t="shared" si="32"/>
        <v>2</v>
      </c>
      <c r="C144" s="56" t="s">
        <v>353</v>
      </c>
      <c r="D144" s="39" t="str">
        <f t="shared" si="33"/>
        <v xml:space="preserve">            First Core Enrichment </v>
      </c>
      <c r="E144" s="39" t="s">
        <v>264</v>
      </c>
      <c r="F144" s="39"/>
      <c r="G144" s="45"/>
      <c r="H144" s="45"/>
      <c r="I144" s="45"/>
      <c r="J144" s="66"/>
      <c r="K144" s="66">
        <v>184.2</v>
      </c>
      <c r="L144" s="49" t="s">
        <v>354</v>
      </c>
      <c r="M144" s="59" t="s">
        <v>355</v>
      </c>
      <c r="N144" s="49"/>
      <c r="O144" s="49"/>
      <c r="P144" s="49">
        <v>1</v>
      </c>
      <c r="Q144" s="66">
        <v>2022</v>
      </c>
      <c r="R144" s="49" t="s">
        <v>219</v>
      </c>
      <c r="S144" s="142"/>
      <c r="T144" s="142"/>
      <c r="U144" s="49"/>
      <c r="V144" s="49"/>
      <c r="W144" s="77" t="s">
        <v>43</v>
      </c>
      <c r="X144" s="80">
        <f t="shared" si="38"/>
        <v>0</v>
      </c>
      <c r="Y144" s="80">
        <f t="shared" si="39"/>
        <v>0</v>
      </c>
      <c r="Z144" s="77" t="s">
        <v>44</v>
      </c>
      <c r="AA144" s="79">
        <f t="shared" si="40"/>
        <v>165.78</v>
      </c>
      <c r="AB144" s="79">
        <f t="shared" si="41"/>
        <v>239.45999999999998</v>
      </c>
      <c r="AC144" s="77" t="s">
        <v>44</v>
      </c>
      <c r="AD144" s="79" t="s">
        <v>45</v>
      </c>
      <c r="AE144" s="79" t="s">
        <v>46</v>
      </c>
      <c r="AF144" s="79" t="s">
        <v>47</v>
      </c>
      <c r="AG144" s="77" t="s">
        <v>48</v>
      </c>
    </row>
    <row r="145" spans="1:33" ht="15" customHeight="1" x14ac:dyDescent="0.2">
      <c r="A145" s="53">
        <v>254</v>
      </c>
      <c r="B145" s="38">
        <f t="shared" si="32"/>
        <v>2</v>
      </c>
      <c r="C145" s="56" t="s">
        <v>356</v>
      </c>
      <c r="D145" s="39" t="str">
        <f t="shared" si="33"/>
        <v xml:space="preserve">            First Core Fuel Assembly Fabrication </v>
      </c>
      <c r="E145" s="39" t="s">
        <v>35</v>
      </c>
      <c r="F145" s="39" t="s">
        <v>357</v>
      </c>
      <c r="G145" s="45" t="s">
        <v>358</v>
      </c>
      <c r="H145" s="45" t="s">
        <v>359</v>
      </c>
      <c r="I145" s="45" t="s">
        <v>360</v>
      </c>
      <c r="J145" s="66"/>
      <c r="K145" s="66">
        <v>1520</v>
      </c>
      <c r="L145" s="49" t="s">
        <v>186</v>
      </c>
      <c r="M145" s="59" t="s">
        <v>361</v>
      </c>
      <c r="N145" s="49"/>
      <c r="O145" s="49"/>
      <c r="P145" s="49"/>
      <c r="Q145" s="66">
        <v>2023</v>
      </c>
      <c r="R145" s="49" t="s">
        <v>219</v>
      </c>
      <c r="S145" s="142"/>
      <c r="T145" s="142"/>
      <c r="U145" s="49"/>
      <c r="V145" s="49"/>
      <c r="W145" s="77" t="s">
        <v>157</v>
      </c>
      <c r="X145" s="80">
        <f t="shared" si="38"/>
        <v>0</v>
      </c>
      <c r="Y145" s="80">
        <f t="shared" si="39"/>
        <v>0</v>
      </c>
      <c r="Z145" s="77" t="s">
        <v>44</v>
      </c>
      <c r="AA145" s="79">
        <f t="shared" si="40"/>
        <v>1368</v>
      </c>
      <c r="AB145" s="79">
        <f t="shared" si="41"/>
        <v>1976</v>
      </c>
      <c r="AC145" s="77" t="s">
        <v>44</v>
      </c>
      <c r="AD145" s="79" t="s">
        <v>45</v>
      </c>
      <c r="AE145" s="79" t="s">
        <v>46</v>
      </c>
      <c r="AF145" s="79" t="s">
        <v>47</v>
      </c>
      <c r="AG145" s="77" t="s">
        <v>48</v>
      </c>
    </row>
    <row r="146" spans="1:33" ht="15" customHeight="1" x14ac:dyDescent="0.2">
      <c r="A146" s="53">
        <v>254</v>
      </c>
      <c r="B146" s="38">
        <f>IF(ISNUMBER(A146),
    IF(AND(A146=INT(A146), MOD(A146, 10) = 0), 0,
        IF(AND(A146=INT(A146), LEN(A146)=2), 1,
            IF(AND(A146=INT(A146), LEN(A146)=3), 2,
                LEN(A146) - FIND(".", A146) + 2)
        )
    ),
"")</f>
        <v>2</v>
      </c>
      <c r="C146" s="56" t="s">
        <v>356</v>
      </c>
      <c r="D146" s="39" t="str">
        <f t="shared" si="33"/>
        <v xml:space="preserve">            First Core Fuel Assembly Fabrication </v>
      </c>
      <c r="E146" s="39" t="s">
        <v>35</v>
      </c>
      <c r="F146" s="39" t="s">
        <v>357</v>
      </c>
      <c r="G146" s="45" t="s">
        <v>358</v>
      </c>
      <c r="H146" s="45" t="s">
        <v>359</v>
      </c>
      <c r="I146" s="45" t="s">
        <v>362</v>
      </c>
      <c r="J146" s="66"/>
      <c r="K146" s="66">
        <v>250</v>
      </c>
      <c r="L146" s="49" t="s">
        <v>186</v>
      </c>
      <c r="M146" s="59" t="s">
        <v>361</v>
      </c>
      <c r="N146" s="49"/>
      <c r="O146" s="49"/>
      <c r="P146" s="49"/>
      <c r="Q146" s="66">
        <v>2023</v>
      </c>
      <c r="R146" s="49" t="s">
        <v>219</v>
      </c>
      <c r="S146" s="142"/>
      <c r="T146" s="142"/>
      <c r="U146" s="49"/>
      <c r="V146" s="49"/>
      <c r="W146" s="77" t="s">
        <v>157</v>
      </c>
      <c r="X146" s="80">
        <f t="shared" si="38"/>
        <v>0</v>
      </c>
      <c r="Y146" s="80">
        <f t="shared" si="39"/>
        <v>0</v>
      </c>
      <c r="Z146" s="77" t="s">
        <v>44</v>
      </c>
      <c r="AA146" s="79">
        <f t="shared" si="40"/>
        <v>225</v>
      </c>
      <c r="AB146" s="79">
        <f t="shared" si="41"/>
        <v>325</v>
      </c>
      <c r="AC146" s="77" t="s">
        <v>44</v>
      </c>
      <c r="AD146" s="79" t="s">
        <v>45</v>
      </c>
      <c r="AE146" s="79" t="s">
        <v>46</v>
      </c>
      <c r="AF146" s="79" t="s">
        <v>47</v>
      </c>
      <c r="AG146" s="77" t="s">
        <v>48</v>
      </c>
    </row>
    <row r="147" spans="1:33" ht="15" customHeight="1" x14ac:dyDescent="0.2">
      <c r="A147" s="53">
        <v>254</v>
      </c>
      <c r="B147" s="38">
        <f>IF(ISNUMBER(A147),
    IF(AND(A147=INT(A147), MOD(A147, 10) = 0), 0,
        IF(AND(A147=INT(A147), LEN(A147)=2), 1,
            IF(AND(A147=INT(A147), LEN(A147)=3), 2,
                LEN(A147) - FIND(".", A147) + 2)
        )
    ),
"")</f>
        <v>2</v>
      </c>
      <c r="C147" s="56" t="s">
        <v>356</v>
      </c>
      <c r="D147" s="39" t="str">
        <f t="shared" si="33"/>
        <v xml:space="preserve">            First Core Fuel Assembly Fabrication </v>
      </c>
      <c r="E147" s="39" t="s">
        <v>35</v>
      </c>
      <c r="F147" s="39" t="s">
        <v>357</v>
      </c>
      <c r="G147" s="45" t="s">
        <v>265</v>
      </c>
      <c r="H147" s="45"/>
      <c r="I147" s="45"/>
      <c r="J147" s="66"/>
      <c r="K147" s="66">
        <v>10000</v>
      </c>
      <c r="L147" s="49" t="s">
        <v>186</v>
      </c>
      <c r="M147" s="59" t="s">
        <v>361</v>
      </c>
      <c r="N147" s="49"/>
      <c r="O147" s="49"/>
      <c r="P147" s="49"/>
      <c r="Q147" s="66">
        <v>2009</v>
      </c>
      <c r="R147" s="49" t="s">
        <v>219</v>
      </c>
      <c r="S147" s="143"/>
      <c r="T147" s="143"/>
      <c r="U147" s="49"/>
      <c r="V147" s="49"/>
      <c r="W147" s="77" t="s">
        <v>157</v>
      </c>
      <c r="X147" s="80">
        <f t="shared" si="38"/>
        <v>0</v>
      </c>
      <c r="Y147" s="80">
        <f t="shared" si="39"/>
        <v>0</v>
      </c>
      <c r="Z147" s="77" t="s">
        <v>44</v>
      </c>
      <c r="AA147" s="79">
        <f t="shared" si="40"/>
        <v>9000</v>
      </c>
      <c r="AB147" s="79">
        <f t="shared" si="41"/>
        <v>13000</v>
      </c>
      <c r="AC147" s="77" t="s">
        <v>44</v>
      </c>
      <c r="AD147" s="79" t="s">
        <v>45</v>
      </c>
      <c r="AE147" s="79" t="s">
        <v>46</v>
      </c>
      <c r="AF147" s="79" t="s">
        <v>47</v>
      </c>
      <c r="AG147" s="77" t="s">
        <v>48</v>
      </c>
    </row>
    <row r="148" spans="1:33" ht="30" customHeight="1" x14ac:dyDescent="0.2">
      <c r="A148" s="37">
        <v>26</v>
      </c>
      <c r="B148" s="38">
        <f>IF(ISNUMBER(A148),
IF(AND(A148=INT(A148), MOD(A148, 10) = 0), 0,
IF(AND(A148=INT(A148), LEN(A148)=2), 1,
IF(AND(A148=INT(A148), LEN(A148)=3), 2,
LEN(A148) - FIND(".", A148) + 2)
)
),
"")</f>
        <v>1</v>
      </c>
      <c r="C148" s="56" t="s">
        <v>363</v>
      </c>
      <c r="D148" s="39" t="str">
        <f t="shared" si="33"/>
        <v xml:space="preserve">      Miscellaneous Equipment (Cranes)</v>
      </c>
      <c r="E148" s="39" t="s">
        <v>35</v>
      </c>
      <c r="F148" s="39"/>
      <c r="G148" s="39"/>
      <c r="H148" s="39"/>
      <c r="I148" s="39"/>
      <c r="J148" s="61">
        <v>1000000</v>
      </c>
      <c r="K148" s="66"/>
      <c r="L148" s="49"/>
      <c r="M148" s="59"/>
      <c r="N148" s="49"/>
      <c r="O148" s="49"/>
      <c r="P148" s="49"/>
      <c r="Q148" s="66">
        <v>2021</v>
      </c>
      <c r="R148" s="49" t="s">
        <v>153</v>
      </c>
      <c r="S148" s="59" t="s">
        <v>364</v>
      </c>
      <c r="T148" s="59" t="s">
        <v>365</v>
      </c>
      <c r="U148" s="49"/>
      <c r="V148" s="49"/>
      <c r="W148" s="77" t="s">
        <v>157</v>
      </c>
      <c r="X148" s="80">
        <f t="shared" si="38"/>
        <v>900000</v>
      </c>
      <c r="Y148" s="80">
        <f t="shared" si="39"/>
        <v>1500000</v>
      </c>
      <c r="Z148" s="77" t="s">
        <v>44</v>
      </c>
      <c r="AA148" s="79">
        <f t="shared" si="40"/>
        <v>0</v>
      </c>
      <c r="AB148" s="79">
        <f t="shared" si="41"/>
        <v>0</v>
      </c>
      <c r="AC148" s="77" t="s">
        <v>44</v>
      </c>
      <c r="AD148" s="79" t="s">
        <v>45</v>
      </c>
      <c r="AE148" s="79" t="s">
        <v>46</v>
      </c>
      <c r="AF148" s="79" t="s">
        <v>47</v>
      </c>
      <c r="AG148" s="77" t="s">
        <v>48</v>
      </c>
    </row>
    <row r="149" spans="1:33" ht="15" customHeight="1" x14ac:dyDescent="0.2">
      <c r="A149" s="50">
        <v>30</v>
      </c>
      <c r="B149" s="38">
        <f>IF(ISNUMBER(A149),
    IF(AND(A149=INT(A149), MOD(A149, 10) = 0), 0,
        IF(AND(A149=INT(A149), LEN(A149)=2), 1,
            IF(AND(A149=INT(A149), LEN(A149)=3), 2,
                LEN(A149) - FIND(".", A149) + 2)
        )
    ),
"")</f>
        <v>0</v>
      </c>
      <c r="C149" s="56" t="s">
        <v>366</v>
      </c>
      <c r="D149" s="39" t="str">
        <f t="shared" si="33"/>
        <v>Capitalized Indirect Services Cost</v>
      </c>
      <c r="E149" s="39"/>
      <c r="F149" s="39"/>
      <c r="G149" s="39"/>
      <c r="H149" s="39"/>
      <c r="I149" s="39"/>
      <c r="J149" s="68"/>
      <c r="K149" s="51"/>
      <c r="L149" s="50"/>
      <c r="M149" s="50"/>
      <c r="N149" s="50"/>
      <c r="O149" s="50"/>
      <c r="P149" s="50"/>
      <c r="Q149" s="68"/>
      <c r="R149" s="50"/>
      <c r="S149" s="50"/>
      <c r="T149" s="50"/>
      <c r="U149" s="50"/>
      <c r="V149" s="50"/>
      <c r="W149" s="77"/>
      <c r="X149" s="80"/>
      <c r="Y149" s="80"/>
      <c r="Z149" s="77"/>
      <c r="AA149" s="79"/>
      <c r="AB149" s="79"/>
      <c r="AC149" s="77"/>
      <c r="AD149" s="79"/>
      <c r="AE149" s="79"/>
      <c r="AF149" s="79"/>
      <c r="AG149" s="77"/>
    </row>
    <row r="150" spans="1:33" ht="29" customHeight="1" x14ac:dyDescent="0.2">
      <c r="A150" s="50">
        <v>31</v>
      </c>
      <c r="B150" s="38">
        <v>1</v>
      </c>
      <c r="C150" s="56" t="s">
        <v>367</v>
      </c>
      <c r="D150" s="39" t="str">
        <f t="shared" si="33"/>
        <v xml:space="preserve">      Factory &amp; field indirect costs</v>
      </c>
      <c r="E150" s="39"/>
      <c r="F150" s="39"/>
      <c r="G150" s="39"/>
      <c r="H150" s="39"/>
      <c r="I150" s="39"/>
      <c r="J150" s="68"/>
      <c r="K150" s="69"/>
      <c r="L150" s="49"/>
      <c r="M150" s="59"/>
      <c r="N150" s="50"/>
      <c r="O150" s="50"/>
      <c r="P150" s="50"/>
      <c r="Q150" s="66"/>
      <c r="R150" s="49"/>
      <c r="S150" s="50"/>
      <c r="T150" s="50"/>
      <c r="U150" s="50"/>
      <c r="V150" s="50"/>
      <c r="W150" s="77"/>
      <c r="X150" s="80"/>
      <c r="Y150" s="80"/>
      <c r="Z150" s="77"/>
      <c r="AA150" s="79"/>
      <c r="AB150" s="79"/>
      <c r="AC150" s="77"/>
      <c r="AD150" s="79"/>
      <c r="AE150" s="79"/>
      <c r="AF150" s="79"/>
      <c r="AG150" s="77"/>
    </row>
    <row r="151" spans="1:33" ht="15" customHeight="1" x14ac:dyDescent="0.2">
      <c r="A151" s="50">
        <v>32</v>
      </c>
      <c r="B151" s="38">
        <v>1</v>
      </c>
      <c r="C151" s="56" t="s">
        <v>368</v>
      </c>
      <c r="D151" s="39" t="str">
        <f t="shared" si="33"/>
        <v xml:space="preserve">      Factory and construction supervision</v>
      </c>
      <c r="E151" s="39"/>
      <c r="F151" s="39"/>
      <c r="G151" s="39"/>
      <c r="H151" s="39"/>
      <c r="I151" s="39"/>
      <c r="J151" s="68"/>
      <c r="K151" s="51"/>
      <c r="L151" s="50"/>
      <c r="M151" s="50"/>
      <c r="N151" s="50"/>
      <c r="O151" s="50"/>
      <c r="P151" s="50"/>
      <c r="Q151" s="66"/>
      <c r="R151" s="49"/>
      <c r="S151" s="50"/>
      <c r="T151" s="50"/>
      <c r="U151" s="50"/>
      <c r="V151" s="50"/>
      <c r="W151" s="77"/>
      <c r="X151" s="80"/>
      <c r="Y151" s="80"/>
      <c r="Z151" s="77"/>
      <c r="AA151" s="79"/>
      <c r="AB151" s="79"/>
      <c r="AC151" s="77"/>
      <c r="AD151" s="79"/>
      <c r="AE151" s="79"/>
      <c r="AF151" s="79"/>
      <c r="AG151" s="77"/>
    </row>
    <row r="152" spans="1:33" ht="15" customHeight="1" x14ac:dyDescent="0.2">
      <c r="A152" s="37">
        <v>33</v>
      </c>
      <c r="B152" s="38">
        <f t="shared" ref="B152:B166" si="42">IF(ISNUMBER(A152),
IF(AND(A152=INT(A152), MOD(A152, 10) = 0), 0,
IF(AND(A152=INT(A152), LEN(A152)=2), 1,
IF(AND(A152=INT(A152), LEN(A152)=3), 2,
LEN(A152) - FIND(".", A152) + 2)
)
),
"")</f>
        <v>1</v>
      </c>
      <c r="C152" s="56" t="s">
        <v>369</v>
      </c>
      <c r="D152" s="39" t="str">
        <f t="shared" si="33"/>
        <v xml:space="preserve">      Startup Costs</v>
      </c>
      <c r="E152" s="39" t="s">
        <v>35</v>
      </c>
      <c r="F152" s="39"/>
      <c r="G152" s="39"/>
      <c r="H152" s="39"/>
      <c r="I152" s="39"/>
      <c r="J152" s="43">
        <f>MARVEL_Cost!C58</f>
        <v>2407166.4</v>
      </c>
      <c r="K152" s="44"/>
      <c r="L152" s="46"/>
      <c r="M152" s="52"/>
      <c r="N152" s="46"/>
      <c r="O152" s="46"/>
      <c r="P152" s="46"/>
      <c r="Q152" s="66">
        <v>2024</v>
      </c>
      <c r="R152" s="70" t="s">
        <v>73</v>
      </c>
      <c r="S152" s="141" t="s">
        <v>316</v>
      </c>
      <c r="T152" s="46"/>
      <c r="U152" s="46"/>
      <c r="V152" s="46"/>
      <c r="W152" s="77" t="s">
        <v>77</v>
      </c>
      <c r="X152" s="80">
        <f>0.9*$J152</f>
        <v>2166449.7599999998</v>
      </c>
      <c r="Y152" s="80">
        <f>1.5*J152</f>
        <v>3610749.5999999996</v>
      </c>
      <c r="Z152" s="77" t="s">
        <v>44</v>
      </c>
      <c r="AA152" s="79">
        <f>0.9*K152</f>
        <v>0</v>
      </c>
      <c r="AB152" s="79">
        <f>1.3*K152</f>
        <v>0</v>
      </c>
      <c r="AC152" s="77" t="s">
        <v>44</v>
      </c>
      <c r="AD152" s="79" t="s">
        <v>45</v>
      </c>
      <c r="AE152" s="79" t="s">
        <v>46</v>
      </c>
      <c r="AF152" s="79" t="s">
        <v>47</v>
      </c>
      <c r="AG152" s="77" t="s">
        <v>48</v>
      </c>
    </row>
    <row r="153" spans="1:33" ht="30" customHeight="1" x14ac:dyDescent="0.2">
      <c r="A153" s="37">
        <v>34</v>
      </c>
      <c r="B153" s="38">
        <f t="shared" si="42"/>
        <v>1</v>
      </c>
      <c r="C153" s="56" t="s">
        <v>370</v>
      </c>
      <c r="D153" s="39" t="str">
        <f t="shared" si="33"/>
        <v xml:space="preserve">      Shipping and Transportation Costs</v>
      </c>
      <c r="E153" s="39" t="s">
        <v>35</v>
      </c>
      <c r="F153" s="39"/>
      <c r="G153" s="39"/>
      <c r="H153" s="39"/>
      <c r="I153" s="39"/>
      <c r="J153" s="43">
        <f>0.5*MARVEL_Cost!C62</f>
        <v>832641.4</v>
      </c>
      <c r="K153" s="44"/>
      <c r="L153" s="46"/>
      <c r="M153" s="52"/>
      <c r="N153" s="46"/>
      <c r="O153" s="46"/>
      <c r="P153" s="46"/>
      <c r="Q153" s="66">
        <v>2024</v>
      </c>
      <c r="R153" s="70" t="s">
        <v>73</v>
      </c>
      <c r="S153" s="142"/>
      <c r="T153" s="46"/>
      <c r="U153" s="46"/>
      <c r="V153" s="46"/>
      <c r="W153" s="77" t="s">
        <v>77</v>
      </c>
      <c r="X153" s="80">
        <f>0.9*$J153</f>
        <v>749377.26</v>
      </c>
      <c r="Y153" s="80">
        <f>1.5*J153</f>
        <v>1248962.1000000001</v>
      </c>
      <c r="Z153" s="77" t="s">
        <v>44</v>
      </c>
      <c r="AA153" s="79">
        <f>0.9*K153</f>
        <v>0</v>
      </c>
      <c r="AB153" s="79">
        <f>1.3*K153</f>
        <v>0</v>
      </c>
      <c r="AC153" s="77" t="s">
        <v>44</v>
      </c>
      <c r="AD153" s="79" t="s">
        <v>45</v>
      </c>
      <c r="AE153" s="79" t="s">
        <v>46</v>
      </c>
      <c r="AF153" s="79" t="s">
        <v>47</v>
      </c>
      <c r="AG153" s="77" t="s">
        <v>48</v>
      </c>
    </row>
    <row r="154" spans="1:33" ht="15" customHeight="1" x14ac:dyDescent="0.2">
      <c r="A154" s="37">
        <v>35</v>
      </c>
      <c r="B154" s="38">
        <f t="shared" si="42"/>
        <v>1</v>
      </c>
      <c r="C154" s="56" t="s">
        <v>371</v>
      </c>
      <c r="D154" s="39" t="str">
        <f t="shared" si="33"/>
        <v xml:space="preserve">      Engineering Services</v>
      </c>
      <c r="E154" s="39" t="s">
        <v>35</v>
      </c>
      <c r="F154" s="39"/>
      <c r="G154" s="39"/>
      <c r="H154" s="39"/>
      <c r="I154" s="39"/>
      <c r="J154" s="43">
        <f>MARVEL_Cost!C65</f>
        <v>620313.58773783164</v>
      </c>
      <c r="K154" s="61"/>
      <c r="L154" s="49"/>
      <c r="M154" s="59"/>
      <c r="N154" s="49"/>
      <c r="O154" s="49"/>
      <c r="P154" s="49"/>
      <c r="Q154" s="66">
        <v>2024</v>
      </c>
      <c r="R154" s="49" t="s">
        <v>53</v>
      </c>
      <c r="S154" s="142"/>
      <c r="T154" s="49"/>
      <c r="U154" s="49"/>
      <c r="V154" s="49"/>
      <c r="W154" s="77" t="s">
        <v>77</v>
      </c>
      <c r="X154" s="80">
        <f>0.9*$J154</f>
        <v>558282.22896404844</v>
      </c>
      <c r="Y154" s="80">
        <f>1.5*J154</f>
        <v>930470.3816067474</v>
      </c>
      <c r="Z154" s="77" t="s">
        <v>44</v>
      </c>
      <c r="AA154" s="79">
        <f>0.9*K154</f>
        <v>0</v>
      </c>
      <c r="AB154" s="79">
        <f>1.3*K154</f>
        <v>0</v>
      </c>
      <c r="AC154" s="77" t="s">
        <v>44</v>
      </c>
      <c r="AD154" s="79" t="s">
        <v>45</v>
      </c>
      <c r="AE154" s="79" t="s">
        <v>46</v>
      </c>
      <c r="AF154" s="79" t="s">
        <v>47</v>
      </c>
      <c r="AG154" s="77" t="s">
        <v>48</v>
      </c>
    </row>
    <row r="155" spans="1:33" ht="15" customHeight="1" x14ac:dyDescent="0.2">
      <c r="A155" s="37">
        <v>36</v>
      </c>
      <c r="B155" s="38">
        <f t="shared" si="42"/>
        <v>1</v>
      </c>
      <c r="C155" s="56" t="s">
        <v>372</v>
      </c>
      <c r="D155" s="39" t="str">
        <f t="shared" si="33"/>
        <v xml:space="preserve">      PM/CM Services</v>
      </c>
      <c r="E155" s="39" t="s">
        <v>35</v>
      </c>
      <c r="F155" s="39"/>
      <c r="G155" s="39"/>
      <c r="H155" s="39"/>
      <c r="I155" s="39"/>
      <c r="J155" s="43">
        <f>MARVEL_Cost!C68</f>
        <v>416958.9359999997</v>
      </c>
      <c r="K155" s="61"/>
      <c r="L155" s="49"/>
      <c r="M155" s="59"/>
      <c r="N155" s="49"/>
      <c r="O155" s="49"/>
      <c r="P155" s="49"/>
      <c r="Q155" s="66">
        <v>2024</v>
      </c>
      <c r="R155" s="49" t="s">
        <v>53</v>
      </c>
      <c r="S155" s="143"/>
      <c r="T155" s="49"/>
      <c r="U155" s="49"/>
      <c r="V155" s="49"/>
      <c r="W155" s="77" t="s">
        <v>77</v>
      </c>
      <c r="X155" s="80">
        <f>0.9*$J155</f>
        <v>375263.04239999974</v>
      </c>
      <c r="Y155" s="80">
        <f>1.5*J155</f>
        <v>625438.40399999951</v>
      </c>
      <c r="Z155" s="77" t="s">
        <v>44</v>
      </c>
      <c r="AA155" s="79">
        <f>0.9*K155</f>
        <v>0</v>
      </c>
      <c r="AB155" s="79">
        <f>1.3*K155</f>
        <v>0</v>
      </c>
      <c r="AC155" s="77" t="s">
        <v>44</v>
      </c>
      <c r="AD155" s="79" t="s">
        <v>45</v>
      </c>
      <c r="AE155" s="79" t="s">
        <v>46</v>
      </c>
      <c r="AF155" s="79" t="s">
        <v>47</v>
      </c>
      <c r="AG155" s="77" t="s">
        <v>48</v>
      </c>
    </row>
    <row r="156" spans="1:33" ht="15" customHeight="1" x14ac:dyDescent="0.2">
      <c r="A156" s="37">
        <v>40</v>
      </c>
      <c r="B156" s="38">
        <f t="shared" si="42"/>
        <v>0</v>
      </c>
      <c r="C156" s="56" t="s">
        <v>373</v>
      </c>
      <c r="D156" s="39" t="str">
        <f t="shared" si="33"/>
        <v>Capitalized training costs</v>
      </c>
      <c r="E156" s="39"/>
      <c r="F156" s="39"/>
      <c r="G156" s="39"/>
      <c r="H156" s="39"/>
      <c r="I156" s="39"/>
      <c r="J156" s="43"/>
      <c r="K156" s="61"/>
      <c r="L156" s="49"/>
      <c r="M156" s="59"/>
      <c r="N156" s="49"/>
      <c r="O156" s="49"/>
      <c r="P156" s="49"/>
      <c r="Q156" s="66"/>
      <c r="R156" s="49"/>
      <c r="S156" s="50"/>
      <c r="T156" s="49"/>
      <c r="U156" s="49"/>
      <c r="V156" s="49"/>
      <c r="W156" s="77"/>
      <c r="X156" s="80"/>
      <c r="Y156" s="80"/>
      <c r="Z156" s="77"/>
      <c r="AA156" s="79"/>
      <c r="AB156" s="79"/>
      <c r="AC156" s="77"/>
      <c r="AD156" s="79"/>
      <c r="AE156" s="79"/>
      <c r="AF156" s="79"/>
      <c r="AG156" s="77"/>
    </row>
    <row r="157" spans="1:33" ht="15" customHeight="1" x14ac:dyDescent="0.2">
      <c r="A157" s="37">
        <v>41</v>
      </c>
      <c r="B157" s="38">
        <f t="shared" si="42"/>
        <v>1</v>
      </c>
      <c r="C157" s="56" t="s">
        <v>374</v>
      </c>
      <c r="D157" s="39" t="str">
        <f t="shared" si="33"/>
        <v xml:space="preserve">      staff recruitment and training</v>
      </c>
      <c r="E157" s="39" t="s">
        <v>35</v>
      </c>
      <c r="F157" s="39"/>
      <c r="G157" s="39"/>
      <c r="H157" s="39"/>
      <c r="I157" s="39"/>
      <c r="J157" s="43">
        <v>300000</v>
      </c>
      <c r="K157" s="61"/>
      <c r="L157" s="49"/>
      <c r="M157" s="59"/>
      <c r="N157" s="49"/>
      <c r="O157" s="49"/>
      <c r="P157" s="49"/>
      <c r="Q157" s="66">
        <v>2024</v>
      </c>
      <c r="R157" s="49" t="s">
        <v>53</v>
      </c>
      <c r="S157" s="42"/>
      <c r="T157" s="49" t="s">
        <v>375</v>
      </c>
      <c r="U157" s="49" t="s">
        <v>376</v>
      </c>
      <c r="V157" s="49"/>
      <c r="W157" s="77" t="s">
        <v>43</v>
      </c>
      <c r="X157" s="80">
        <f>0.9*$J157</f>
        <v>270000</v>
      </c>
      <c r="Y157" s="80">
        <f>1.5*J157</f>
        <v>450000</v>
      </c>
      <c r="Z157" s="77" t="s">
        <v>44</v>
      </c>
      <c r="AA157" s="79">
        <f>0.9*K157</f>
        <v>0</v>
      </c>
      <c r="AB157" s="79">
        <f>1.3*K157</f>
        <v>0</v>
      </c>
      <c r="AC157" s="77" t="s">
        <v>44</v>
      </c>
      <c r="AD157" s="79" t="s">
        <v>45</v>
      </c>
      <c r="AE157" s="79" t="s">
        <v>46</v>
      </c>
      <c r="AF157" s="79" t="s">
        <v>47</v>
      </c>
      <c r="AG157" s="77" t="s">
        <v>48</v>
      </c>
    </row>
    <row r="158" spans="1:33" ht="15" customHeight="1" x14ac:dyDescent="0.2">
      <c r="A158" s="50">
        <v>60</v>
      </c>
      <c r="B158" s="38">
        <f t="shared" si="42"/>
        <v>0</v>
      </c>
      <c r="C158" s="56" t="s">
        <v>377</v>
      </c>
      <c r="D158" s="39" t="str">
        <f t="shared" si="33"/>
        <v xml:space="preserve">Capitalized Financial Costs </v>
      </c>
      <c r="E158" s="39"/>
      <c r="F158" s="39"/>
      <c r="G158" s="39"/>
      <c r="H158" s="39"/>
      <c r="I158" s="39"/>
      <c r="J158" s="68"/>
      <c r="K158" s="51"/>
      <c r="L158" s="50"/>
      <c r="M158" s="50"/>
      <c r="N158" s="50"/>
      <c r="O158" s="50"/>
      <c r="P158" s="50"/>
      <c r="Q158" s="68"/>
      <c r="R158" s="50"/>
      <c r="S158" s="50"/>
      <c r="T158" s="50"/>
      <c r="U158" s="50"/>
      <c r="V158" s="50"/>
      <c r="W158" s="77"/>
      <c r="X158" s="80"/>
      <c r="Y158" s="80"/>
      <c r="Z158" s="77"/>
      <c r="AA158" s="79"/>
      <c r="AB158" s="79"/>
      <c r="AC158" s="77"/>
      <c r="AD158" s="79"/>
      <c r="AE158" s="79"/>
      <c r="AF158" s="79"/>
      <c r="AG158" s="77"/>
    </row>
    <row r="159" spans="1:33" ht="15" customHeight="1" x14ac:dyDescent="0.2">
      <c r="A159" s="37">
        <v>62</v>
      </c>
      <c r="B159" s="38">
        <f t="shared" si="42"/>
        <v>1</v>
      </c>
      <c r="C159" s="56" t="s">
        <v>378</v>
      </c>
      <c r="D159" s="39" t="str">
        <f t="shared" si="33"/>
        <v xml:space="preserve">      Interest</v>
      </c>
      <c r="E159" s="39"/>
      <c r="F159" s="39"/>
      <c r="G159" s="39"/>
      <c r="H159" s="39"/>
      <c r="I159" s="39"/>
      <c r="J159" s="43"/>
      <c r="K159" s="61"/>
      <c r="L159" s="49"/>
      <c r="M159" s="59"/>
      <c r="N159" s="49"/>
      <c r="O159" s="49"/>
      <c r="P159" s="49"/>
      <c r="Q159" s="66"/>
      <c r="R159" s="49"/>
      <c r="S159" s="59"/>
      <c r="T159" s="49"/>
      <c r="U159" s="49"/>
      <c r="V159" s="49"/>
      <c r="W159" s="77"/>
      <c r="X159" s="80"/>
      <c r="Y159" s="80"/>
      <c r="Z159" s="77"/>
      <c r="AA159" s="79"/>
      <c r="AB159" s="79"/>
      <c r="AC159" s="77"/>
      <c r="AD159" s="79"/>
      <c r="AE159" s="79"/>
      <c r="AF159" s="79"/>
      <c r="AG159" s="77"/>
    </row>
    <row r="160" spans="1:33" ht="15" customHeight="1" x14ac:dyDescent="0.2">
      <c r="A160" s="37">
        <v>70</v>
      </c>
      <c r="B160" s="38">
        <f t="shared" si="42"/>
        <v>0</v>
      </c>
      <c r="C160" s="71" t="s">
        <v>379</v>
      </c>
      <c r="D160" s="39" t="str">
        <f t="shared" si="33"/>
        <v xml:space="preserve">Annualized O&amp;M Cost </v>
      </c>
      <c r="E160" s="39"/>
      <c r="F160" s="39"/>
      <c r="G160" s="39"/>
      <c r="H160" s="39"/>
      <c r="I160" s="39"/>
      <c r="J160" s="40"/>
      <c r="K160" s="40"/>
      <c r="L160" s="38"/>
      <c r="M160" s="41"/>
      <c r="N160" s="38"/>
      <c r="O160" s="38"/>
      <c r="P160" s="38"/>
      <c r="Q160" s="40"/>
      <c r="R160" s="38"/>
      <c r="S160" s="41"/>
      <c r="T160" s="38"/>
      <c r="U160" s="38"/>
      <c r="V160" s="38"/>
      <c r="W160" s="77"/>
      <c r="X160" s="80"/>
      <c r="Y160" s="80"/>
      <c r="Z160" s="77"/>
      <c r="AA160" s="79"/>
      <c r="AB160" s="79"/>
      <c r="AC160" s="77"/>
      <c r="AD160" s="79"/>
      <c r="AE160" s="79"/>
      <c r="AF160" s="79"/>
      <c r="AG160" s="77"/>
    </row>
    <row r="161" spans="1:33" ht="15" customHeight="1" x14ac:dyDescent="0.2">
      <c r="A161" s="37">
        <v>71</v>
      </c>
      <c r="B161" s="38">
        <f t="shared" si="42"/>
        <v>1</v>
      </c>
      <c r="C161" s="56" t="s">
        <v>380</v>
      </c>
      <c r="D161" s="39" t="str">
        <f t="shared" si="33"/>
        <v xml:space="preserve">      O&amp;M Staff</v>
      </c>
      <c r="E161" s="39"/>
      <c r="F161" s="39"/>
      <c r="G161" s="39"/>
      <c r="H161" s="39"/>
      <c r="I161" s="39"/>
      <c r="J161" s="43"/>
      <c r="K161" s="61"/>
      <c r="L161" s="49"/>
      <c r="M161" s="59"/>
      <c r="N161" s="49"/>
      <c r="O161" s="49"/>
      <c r="P161" s="49"/>
      <c r="Q161" s="66"/>
      <c r="R161" s="49"/>
      <c r="S161" s="59"/>
      <c r="T161" s="49"/>
      <c r="U161" s="49"/>
      <c r="V161" s="49"/>
      <c r="W161" s="77"/>
      <c r="X161" s="80"/>
      <c r="Y161" s="80"/>
      <c r="Z161" s="77"/>
      <c r="AA161" s="79"/>
      <c r="AB161" s="79"/>
      <c r="AC161" s="77"/>
      <c r="AD161" s="79"/>
      <c r="AE161" s="79"/>
      <c r="AF161" s="79"/>
      <c r="AG161" s="77"/>
    </row>
    <row r="162" spans="1:33" ht="71" customHeight="1" x14ac:dyDescent="0.2">
      <c r="A162" s="53">
        <v>711</v>
      </c>
      <c r="B162" s="38">
        <f t="shared" si="42"/>
        <v>2</v>
      </c>
      <c r="C162" s="56" t="s">
        <v>381</v>
      </c>
      <c r="D162" s="39" t="str">
        <f t="shared" ref="D162:D181" si="43">REPT("   ", B162*2) &amp; C162</f>
        <v xml:space="preserve">            Operators </v>
      </c>
      <c r="E162" s="39" t="s">
        <v>264</v>
      </c>
      <c r="F162" s="39"/>
      <c r="G162" s="39"/>
      <c r="H162" s="39"/>
      <c r="I162" s="39"/>
      <c r="J162" s="43"/>
      <c r="K162" s="61">
        <v>178500</v>
      </c>
      <c r="L162" s="49" t="s">
        <v>382</v>
      </c>
      <c r="M162" s="59" t="s">
        <v>383</v>
      </c>
      <c r="N162" s="49"/>
      <c r="O162" s="49"/>
      <c r="P162" s="49">
        <v>1</v>
      </c>
      <c r="Q162" s="66">
        <v>2024</v>
      </c>
      <c r="R162" s="49" t="s">
        <v>53</v>
      </c>
      <c r="S162" s="59"/>
      <c r="T162" s="59" t="s">
        <v>384</v>
      </c>
      <c r="U162" s="49"/>
      <c r="V162" s="49"/>
      <c r="W162" s="77" t="s">
        <v>43</v>
      </c>
      <c r="X162" s="80">
        <f>0.9*$J162</f>
        <v>0</v>
      </c>
      <c r="Y162" s="80">
        <f>1.5*J162</f>
        <v>0</v>
      </c>
      <c r="Z162" s="77" t="s">
        <v>44</v>
      </c>
      <c r="AA162" s="79">
        <f>0.9*K162</f>
        <v>160650</v>
      </c>
      <c r="AB162" s="79">
        <f>1.3*K162</f>
        <v>232050</v>
      </c>
      <c r="AC162" s="77" t="s">
        <v>44</v>
      </c>
      <c r="AD162" s="79" t="s">
        <v>45</v>
      </c>
      <c r="AE162" s="79" t="s">
        <v>46</v>
      </c>
      <c r="AF162" s="79" t="s">
        <v>47</v>
      </c>
      <c r="AG162" s="77" t="s">
        <v>48</v>
      </c>
    </row>
    <row r="163" spans="1:33" ht="30" customHeight="1" x14ac:dyDescent="0.2">
      <c r="A163" s="53">
        <v>712</v>
      </c>
      <c r="B163" s="38">
        <f t="shared" si="42"/>
        <v>2</v>
      </c>
      <c r="C163" s="56" t="s">
        <v>385</v>
      </c>
      <c r="D163" s="39" t="str">
        <f t="shared" si="43"/>
        <v xml:space="preserve">            Remote Monitoring Technicians </v>
      </c>
      <c r="E163" s="39" t="s">
        <v>264</v>
      </c>
      <c r="F163" s="39" t="s">
        <v>386</v>
      </c>
      <c r="G163" s="39" t="s">
        <v>715</v>
      </c>
      <c r="H163" s="39"/>
      <c r="I163" s="39"/>
      <c r="J163" s="43"/>
      <c r="K163" s="61">
        <v>178500</v>
      </c>
      <c r="L163" s="49" t="s">
        <v>382</v>
      </c>
      <c r="M163" s="59" t="s">
        <v>387</v>
      </c>
      <c r="N163" s="49"/>
      <c r="O163" s="49"/>
      <c r="P163" s="49">
        <v>1</v>
      </c>
      <c r="Q163" s="66">
        <v>2024</v>
      </c>
      <c r="R163" s="49" t="s">
        <v>53</v>
      </c>
      <c r="S163" s="59"/>
      <c r="T163" s="59" t="s">
        <v>384</v>
      </c>
      <c r="U163" s="49"/>
      <c r="V163" s="49"/>
      <c r="W163" s="77" t="s">
        <v>43</v>
      </c>
      <c r="X163" s="80">
        <f>0.9*$J163</f>
        <v>0</v>
      </c>
      <c r="Y163" s="80">
        <f>1.5*J163</f>
        <v>0</v>
      </c>
      <c r="Z163" s="77" t="s">
        <v>44</v>
      </c>
      <c r="AA163" s="79">
        <f>0.9*K163</f>
        <v>160650</v>
      </c>
      <c r="AB163" s="79">
        <f>1.3*K163</f>
        <v>232050</v>
      </c>
      <c r="AC163" s="77" t="s">
        <v>44</v>
      </c>
      <c r="AD163" s="79" t="s">
        <v>45</v>
      </c>
      <c r="AE163" s="79" t="s">
        <v>46</v>
      </c>
      <c r="AF163" s="79" t="s">
        <v>47</v>
      </c>
      <c r="AG163" s="77" t="s">
        <v>48</v>
      </c>
    </row>
    <row r="164" spans="1:33" ht="85" customHeight="1" x14ac:dyDescent="0.2">
      <c r="A164" s="53">
        <v>713</v>
      </c>
      <c r="B164" s="38">
        <f t="shared" si="42"/>
        <v>2</v>
      </c>
      <c r="C164" s="56" t="s">
        <v>388</v>
      </c>
      <c r="D164" s="39" t="str">
        <f t="shared" si="43"/>
        <v xml:space="preserve">            Security Staff </v>
      </c>
      <c r="E164" s="39" t="s">
        <v>264</v>
      </c>
      <c r="F164" s="39"/>
      <c r="G164" s="39"/>
      <c r="H164" s="39"/>
      <c r="I164" s="39"/>
      <c r="J164" s="43"/>
      <c r="K164" s="61">
        <v>178500</v>
      </c>
      <c r="L164" s="49" t="s">
        <v>382</v>
      </c>
      <c r="M164" s="59" t="s">
        <v>389</v>
      </c>
      <c r="N164" s="49"/>
      <c r="O164" s="49"/>
      <c r="P164" s="49">
        <v>1</v>
      </c>
      <c r="Q164" s="66">
        <v>2024</v>
      </c>
      <c r="R164" s="49" t="s">
        <v>53</v>
      </c>
      <c r="S164" s="59"/>
      <c r="T164" s="59" t="s">
        <v>384</v>
      </c>
      <c r="U164" s="49"/>
      <c r="V164" s="49"/>
      <c r="W164" s="77" t="s">
        <v>43</v>
      </c>
      <c r="X164" s="80">
        <f>0.9*$J164</f>
        <v>0</v>
      </c>
      <c r="Y164" s="80">
        <f>1.5*J164</f>
        <v>0</v>
      </c>
      <c r="Z164" s="77" t="s">
        <v>44</v>
      </c>
      <c r="AA164" s="79">
        <f>0.9*K164</f>
        <v>160650</v>
      </c>
      <c r="AB164" s="79">
        <f>1.3*K164</f>
        <v>232050</v>
      </c>
      <c r="AC164" s="77" t="s">
        <v>44</v>
      </c>
      <c r="AD164" s="79" t="s">
        <v>45</v>
      </c>
      <c r="AE164" s="79" t="s">
        <v>46</v>
      </c>
      <c r="AF164" s="79" t="s">
        <v>47</v>
      </c>
      <c r="AG164" s="77" t="s">
        <v>48</v>
      </c>
    </row>
    <row r="165" spans="1:33" ht="15" customHeight="1" x14ac:dyDescent="0.2">
      <c r="A165" s="37">
        <v>72</v>
      </c>
      <c r="B165" s="38">
        <f t="shared" si="42"/>
        <v>1</v>
      </c>
      <c r="C165" s="56" t="s">
        <v>390</v>
      </c>
      <c r="D165" s="39" t="str">
        <f t="shared" si="43"/>
        <v xml:space="preserve">      Variable Non-Fuel Costs</v>
      </c>
      <c r="E165" s="39"/>
      <c r="F165" s="39"/>
      <c r="G165" s="39"/>
      <c r="H165" s="39"/>
      <c r="I165" s="39"/>
      <c r="J165" s="43"/>
      <c r="K165" s="61"/>
      <c r="L165" s="49"/>
      <c r="M165" s="59"/>
      <c r="N165" s="49"/>
      <c r="O165" s="49"/>
      <c r="P165" s="49"/>
      <c r="Q165" s="66"/>
      <c r="R165" s="49"/>
      <c r="S165" s="59"/>
      <c r="T165" s="59"/>
      <c r="U165" s="49"/>
      <c r="V165" s="49"/>
      <c r="W165" s="77"/>
      <c r="X165" s="80"/>
      <c r="Y165" s="80"/>
      <c r="Z165" s="77"/>
      <c r="AA165" s="79"/>
      <c r="AB165" s="79"/>
      <c r="AC165" s="77"/>
      <c r="AD165" s="79"/>
      <c r="AE165" s="79"/>
      <c r="AF165" s="79"/>
      <c r="AG165" s="77"/>
    </row>
    <row r="166" spans="1:33" ht="57" customHeight="1" x14ac:dyDescent="0.2">
      <c r="A166" s="37">
        <v>721</v>
      </c>
      <c r="B166" s="38">
        <f t="shared" si="42"/>
        <v>2</v>
      </c>
      <c r="C166" s="56" t="s">
        <v>298</v>
      </c>
      <c r="D166" s="39" t="str">
        <f t="shared" si="43"/>
        <v xml:space="preserve">            Coolant</v>
      </c>
      <c r="E166" s="39" t="s">
        <v>264</v>
      </c>
      <c r="F166" s="39" t="s">
        <v>298</v>
      </c>
      <c r="G166" s="39" t="s">
        <v>299</v>
      </c>
      <c r="H166" s="39"/>
      <c r="I166" s="39"/>
      <c r="J166" s="43"/>
      <c r="K166" s="61">
        <v>170</v>
      </c>
      <c r="L166" s="49" t="s">
        <v>186</v>
      </c>
      <c r="M166" s="59" t="s">
        <v>391</v>
      </c>
      <c r="N166" s="49"/>
      <c r="O166" s="49" t="s">
        <v>188</v>
      </c>
      <c r="P166" s="49"/>
      <c r="Q166" s="66">
        <v>2024</v>
      </c>
      <c r="R166" s="49" t="s">
        <v>219</v>
      </c>
      <c r="S166" s="59" t="s">
        <v>301</v>
      </c>
      <c r="T166" s="63" t="s">
        <v>301</v>
      </c>
      <c r="U166" s="83" t="s">
        <v>302</v>
      </c>
      <c r="V166" s="49" t="s">
        <v>303</v>
      </c>
      <c r="W166" s="77" t="s">
        <v>43</v>
      </c>
      <c r="X166" s="80">
        <f>0.9*$J166</f>
        <v>0</v>
      </c>
      <c r="Y166" s="80">
        <f>1.5*J166</f>
        <v>0</v>
      </c>
      <c r="Z166" s="77" t="s">
        <v>44</v>
      </c>
      <c r="AA166" s="79">
        <f>0.9*K166</f>
        <v>153</v>
      </c>
      <c r="AB166" s="79">
        <f>1.3*K166</f>
        <v>221</v>
      </c>
      <c r="AC166" s="77" t="s">
        <v>44</v>
      </c>
      <c r="AD166" s="79" t="s">
        <v>45</v>
      </c>
      <c r="AE166" s="79" t="s">
        <v>46</v>
      </c>
      <c r="AF166" s="79" t="s">
        <v>47</v>
      </c>
      <c r="AG166" s="77" t="s">
        <v>48</v>
      </c>
    </row>
    <row r="167" spans="1:33" ht="29" customHeight="1" x14ac:dyDescent="0.2">
      <c r="A167" s="37">
        <v>721</v>
      </c>
      <c r="B167" s="38">
        <f>IF(ISNUMBER(A167),
    IF(AND(A167=INT(A167), MOD(A167, 10) = 0), 0,
        IF(AND(A167=INT(A167), LEN(A167)=2), 1,
            IF(AND(A167=INT(A167), LEN(A167)=3), 2,
                LEN(A167) - FIND(".", A167) + 2)
        )
    ),
"")</f>
        <v>2</v>
      </c>
      <c r="C167" s="56" t="s">
        <v>298</v>
      </c>
      <c r="D167" s="39" t="str">
        <f t="shared" si="43"/>
        <v xml:space="preserve">            Coolant</v>
      </c>
      <c r="E167" s="39" t="s">
        <v>264</v>
      </c>
      <c r="F167" s="39" t="s">
        <v>298</v>
      </c>
      <c r="G167" s="39" t="s">
        <v>304</v>
      </c>
      <c r="H167" s="39"/>
      <c r="I167" s="39"/>
      <c r="J167" s="43"/>
      <c r="K167" s="61">
        <v>118</v>
      </c>
      <c r="L167" s="49" t="s">
        <v>186</v>
      </c>
      <c r="M167" s="59" t="s">
        <v>391</v>
      </c>
      <c r="N167" s="49"/>
      <c r="O167" s="49" t="s">
        <v>188</v>
      </c>
      <c r="P167" s="49"/>
      <c r="Q167" s="66">
        <v>2023</v>
      </c>
      <c r="R167" s="49" t="s">
        <v>219</v>
      </c>
      <c r="S167" s="59" t="s">
        <v>392</v>
      </c>
      <c r="T167" s="63"/>
      <c r="U167" s="83"/>
      <c r="V167" s="49" t="s">
        <v>393</v>
      </c>
      <c r="W167" s="77" t="s">
        <v>43</v>
      </c>
      <c r="X167" s="80">
        <f>0.9*$J167</f>
        <v>0</v>
      </c>
      <c r="Y167" s="80">
        <f>1.5*J167</f>
        <v>0</v>
      </c>
      <c r="Z167" s="77" t="s">
        <v>44</v>
      </c>
      <c r="AA167" s="79">
        <f>0.9*K167</f>
        <v>106.2</v>
      </c>
      <c r="AB167" s="79">
        <f>1.3*K167</f>
        <v>153.4</v>
      </c>
      <c r="AC167" s="77" t="s">
        <v>44</v>
      </c>
      <c r="AD167" s="79" t="s">
        <v>45</v>
      </c>
      <c r="AE167" s="79" t="s">
        <v>46</v>
      </c>
      <c r="AF167" s="79" t="s">
        <v>47</v>
      </c>
      <c r="AG167" s="77" t="s">
        <v>48</v>
      </c>
    </row>
    <row r="168" spans="1:33" ht="155" customHeight="1" x14ac:dyDescent="0.2">
      <c r="A168" s="37">
        <v>73</v>
      </c>
      <c r="B168" s="38">
        <f t="shared" ref="B168:B176" si="44">IF(ISNUMBER(A168),
IF(AND(A168=INT(A168), MOD(A168, 10) = 0), 0,
IF(AND(A168=INT(A168), LEN(A168)=2), 1,
IF(AND(A168=INT(A168), LEN(A168)=3), 2,
LEN(A168) - FIND(".", A168) + 2)
)
),
"")</f>
        <v>1</v>
      </c>
      <c r="C168" s="56" t="s">
        <v>394</v>
      </c>
      <c r="D168" s="39" t="str">
        <f t="shared" si="43"/>
        <v xml:space="preserve">      Regulatory Costs</v>
      </c>
      <c r="E168" s="39" t="s">
        <v>35</v>
      </c>
      <c r="F168" s="39"/>
      <c r="G168" s="39"/>
      <c r="H168" s="39"/>
      <c r="I168" s="39"/>
      <c r="J168" s="43">
        <f>(2/100)*5359000</f>
        <v>107180</v>
      </c>
      <c r="K168" s="61"/>
      <c r="L168" s="49"/>
      <c r="M168" s="59"/>
      <c r="N168" s="49"/>
      <c r="O168" s="49"/>
      <c r="P168" s="49"/>
      <c r="Q168" s="66">
        <v>2024</v>
      </c>
      <c r="R168" s="49" t="s">
        <v>53</v>
      </c>
      <c r="S168" s="59" t="s">
        <v>395</v>
      </c>
      <c r="T168" s="63" t="s">
        <v>396</v>
      </c>
      <c r="U168" s="83" t="s">
        <v>396</v>
      </c>
      <c r="V168" s="49"/>
      <c r="W168" s="3" t="s">
        <v>59</v>
      </c>
      <c r="X168" s="80">
        <f>0.9*$J168</f>
        <v>96462</v>
      </c>
      <c r="Y168" s="80">
        <f>1.5*J168</f>
        <v>160770</v>
      </c>
      <c r="Z168" s="77" t="s">
        <v>44</v>
      </c>
      <c r="AA168" s="79"/>
      <c r="AB168" s="79"/>
      <c r="AC168" s="77"/>
      <c r="AD168" s="79"/>
      <c r="AE168" s="79"/>
      <c r="AF168" s="79"/>
      <c r="AG168" s="77"/>
    </row>
    <row r="169" spans="1:33" ht="127" customHeight="1" x14ac:dyDescent="0.2">
      <c r="A169" s="37">
        <v>75</v>
      </c>
      <c r="B169" s="38">
        <f t="shared" si="44"/>
        <v>1</v>
      </c>
      <c r="C169" s="56" t="s">
        <v>397</v>
      </c>
      <c r="D169" s="39" t="str">
        <f t="shared" si="43"/>
        <v xml:space="preserve">      Capital Plant Expenditures</v>
      </c>
      <c r="E169" s="39"/>
      <c r="F169" s="39"/>
      <c r="G169" s="39"/>
      <c r="H169" s="39"/>
      <c r="I169" s="39"/>
      <c r="J169" s="43"/>
      <c r="K169" s="61"/>
      <c r="L169" s="49"/>
      <c r="M169" s="59"/>
      <c r="N169" s="49"/>
      <c r="O169" s="49"/>
      <c r="P169" s="49"/>
      <c r="Q169" s="66"/>
      <c r="R169" s="49"/>
      <c r="S169" s="59" t="s">
        <v>398</v>
      </c>
      <c r="T169" s="59" t="s">
        <v>398</v>
      </c>
      <c r="U169" s="49"/>
      <c r="V169" s="59" t="s">
        <v>399</v>
      </c>
      <c r="W169" s="77"/>
      <c r="X169" s="80"/>
      <c r="Y169" s="80"/>
      <c r="Z169" s="77"/>
      <c r="AA169" s="79"/>
      <c r="AB169" s="79"/>
      <c r="AC169" s="77"/>
      <c r="AD169" s="79"/>
      <c r="AE169" s="79"/>
      <c r="AF169" s="79"/>
      <c r="AG169" s="77"/>
    </row>
    <row r="170" spans="1:33" ht="12.75" customHeight="1" x14ac:dyDescent="0.2">
      <c r="A170" s="37">
        <v>751</v>
      </c>
      <c r="B170" s="38">
        <f t="shared" si="44"/>
        <v>2</v>
      </c>
      <c r="C170" s="56" t="s">
        <v>400</v>
      </c>
      <c r="D170" s="39" t="str">
        <f t="shared" si="43"/>
        <v xml:space="preserve">            Annualized RPV Replacements</v>
      </c>
      <c r="E170" s="39"/>
      <c r="F170" s="39"/>
      <c r="G170" s="39"/>
      <c r="H170" s="39"/>
      <c r="I170" s="39"/>
      <c r="J170" s="43"/>
      <c r="K170" s="61"/>
      <c r="L170" s="49"/>
      <c r="M170" s="59"/>
      <c r="N170" s="49"/>
      <c r="O170" s="49"/>
      <c r="P170" s="49"/>
      <c r="Q170" s="66"/>
      <c r="R170" s="49"/>
      <c r="S170" s="144" t="s">
        <v>398</v>
      </c>
      <c r="T170" s="144" t="s">
        <v>398</v>
      </c>
      <c r="U170" s="49"/>
      <c r="V170" s="144" t="s">
        <v>399</v>
      </c>
      <c r="W170" s="77"/>
      <c r="X170" s="80"/>
      <c r="Y170" s="80"/>
      <c r="Z170" s="77"/>
      <c r="AA170" s="79"/>
      <c r="AB170" s="79"/>
      <c r="AC170" s="77"/>
      <c r="AD170" s="79"/>
      <c r="AE170" s="79"/>
      <c r="AF170" s="79"/>
      <c r="AG170" s="77"/>
    </row>
    <row r="171" spans="1:33" ht="15" customHeight="1" x14ac:dyDescent="0.2">
      <c r="A171" s="37">
        <v>752</v>
      </c>
      <c r="B171" s="38">
        <f t="shared" si="44"/>
        <v>2</v>
      </c>
      <c r="C171" s="56" t="s">
        <v>401</v>
      </c>
      <c r="D171" s="39" t="str">
        <f t="shared" si="43"/>
        <v xml:space="preserve">            Annualized Core Barrel Replacements</v>
      </c>
      <c r="E171" s="39"/>
      <c r="F171" s="39"/>
      <c r="G171" s="39"/>
      <c r="H171" s="39"/>
      <c r="I171" s="39"/>
      <c r="J171" s="43"/>
      <c r="K171" s="61"/>
      <c r="L171" s="49"/>
      <c r="M171" s="59"/>
      <c r="N171" s="49"/>
      <c r="O171" s="49"/>
      <c r="P171" s="49"/>
      <c r="Q171" s="66"/>
      <c r="R171" s="49"/>
      <c r="S171" s="142"/>
      <c r="T171" s="142"/>
      <c r="U171" s="49"/>
      <c r="V171" s="142"/>
      <c r="W171" s="77"/>
      <c r="X171" s="80"/>
      <c r="Y171" s="80"/>
      <c r="Z171" s="77"/>
      <c r="AA171" s="79"/>
      <c r="AB171" s="79"/>
      <c r="AC171" s="77"/>
      <c r="AD171" s="79"/>
      <c r="AE171" s="79"/>
      <c r="AF171" s="79"/>
      <c r="AG171" s="77"/>
    </row>
    <row r="172" spans="1:33" ht="15" customHeight="1" x14ac:dyDescent="0.2">
      <c r="A172" s="37">
        <v>753</v>
      </c>
      <c r="B172" s="38">
        <f t="shared" si="44"/>
        <v>2</v>
      </c>
      <c r="C172" s="56" t="s">
        <v>402</v>
      </c>
      <c r="D172" s="39" t="str">
        <f t="shared" si="43"/>
        <v xml:space="preserve">            Annualized Moderator Replacements</v>
      </c>
      <c r="E172" s="39"/>
      <c r="F172" s="39"/>
      <c r="G172" s="39"/>
      <c r="H172" s="39"/>
      <c r="I172" s="39"/>
      <c r="J172" s="43"/>
      <c r="K172" s="61"/>
      <c r="L172" s="49"/>
      <c r="M172" s="59"/>
      <c r="N172" s="49"/>
      <c r="O172" s="49"/>
      <c r="P172" s="49"/>
      <c r="Q172" s="66"/>
      <c r="R172" s="49"/>
      <c r="S172" s="142"/>
      <c r="T172" s="142"/>
      <c r="U172" s="49"/>
      <c r="V172" s="142"/>
      <c r="W172" s="77"/>
      <c r="X172" s="80"/>
      <c r="Y172" s="80"/>
      <c r="Z172" s="77"/>
      <c r="AA172" s="79"/>
      <c r="AB172" s="79"/>
      <c r="AC172" s="77"/>
      <c r="AD172" s="79"/>
      <c r="AE172" s="79"/>
      <c r="AF172" s="79"/>
      <c r="AG172" s="77"/>
    </row>
    <row r="173" spans="1:33" ht="15" customHeight="1" x14ac:dyDescent="0.2">
      <c r="A173" s="37">
        <v>754</v>
      </c>
      <c r="B173" s="38">
        <f t="shared" si="44"/>
        <v>2</v>
      </c>
      <c r="C173" s="56" t="s">
        <v>403</v>
      </c>
      <c r="D173" s="39" t="str">
        <f t="shared" si="43"/>
        <v xml:space="preserve">            Annualized Reflector Replacements</v>
      </c>
      <c r="E173" s="39"/>
      <c r="F173" s="39"/>
      <c r="G173" s="39"/>
      <c r="H173" s="39"/>
      <c r="I173" s="39"/>
      <c r="J173" s="43"/>
      <c r="K173" s="61"/>
      <c r="L173" s="49"/>
      <c r="M173" s="59"/>
      <c r="N173" s="49"/>
      <c r="O173" s="49"/>
      <c r="P173" s="49"/>
      <c r="Q173" s="66"/>
      <c r="R173" s="49"/>
      <c r="S173" s="142"/>
      <c r="T173" s="142"/>
      <c r="U173" s="49"/>
      <c r="V173" s="142"/>
      <c r="W173" s="77"/>
      <c r="X173" s="80"/>
      <c r="Y173" s="80"/>
      <c r="Z173" s="77"/>
      <c r="AA173" s="79"/>
      <c r="AB173" s="79"/>
      <c r="AC173" s="77"/>
      <c r="AD173" s="79"/>
      <c r="AE173" s="79"/>
      <c r="AF173" s="79"/>
      <c r="AG173" s="77"/>
    </row>
    <row r="174" spans="1:33" ht="29" customHeight="1" x14ac:dyDescent="0.2">
      <c r="A174" s="37">
        <v>755</v>
      </c>
      <c r="B174" s="38">
        <f t="shared" si="44"/>
        <v>2</v>
      </c>
      <c r="C174" s="56" t="s">
        <v>404</v>
      </c>
      <c r="D174" s="39" t="str">
        <f t="shared" si="43"/>
        <v xml:space="preserve">            Annualized Reactivity Control Replacements</v>
      </c>
      <c r="E174" s="39"/>
      <c r="F174" s="39"/>
      <c r="G174" s="39"/>
      <c r="H174" s="39"/>
      <c r="I174" s="39"/>
      <c r="J174" s="43"/>
      <c r="K174" s="61"/>
      <c r="L174" s="49"/>
      <c r="M174" s="59"/>
      <c r="N174" s="49"/>
      <c r="O174" s="49"/>
      <c r="P174" s="49"/>
      <c r="Q174" s="66"/>
      <c r="R174" s="49"/>
      <c r="S174" s="142"/>
      <c r="T174" s="142"/>
      <c r="U174" s="49"/>
      <c r="V174" s="142"/>
      <c r="W174" s="77"/>
      <c r="X174" s="80"/>
      <c r="Y174" s="80"/>
      <c r="Z174" s="77"/>
      <c r="AA174" s="79"/>
      <c r="AB174" s="79"/>
      <c r="AC174" s="77"/>
      <c r="AD174" s="79"/>
      <c r="AE174" s="79"/>
      <c r="AF174" s="79"/>
      <c r="AG174" s="77"/>
    </row>
    <row r="175" spans="1:33" ht="25.5" customHeight="1" x14ac:dyDescent="0.2">
      <c r="A175" s="37">
        <v>756</v>
      </c>
      <c r="B175" s="38">
        <f t="shared" si="44"/>
        <v>2</v>
      </c>
      <c r="C175" s="56" t="s">
        <v>405</v>
      </c>
      <c r="D175" s="39" t="str">
        <f t="shared" si="43"/>
        <v xml:space="preserve">            Annualized Integrated Heat Transfer System Replacements</v>
      </c>
      <c r="E175" s="39"/>
      <c r="F175" s="39"/>
      <c r="G175" s="39"/>
      <c r="H175" s="39"/>
      <c r="I175" s="39"/>
      <c r="J175" s="43"/>
      <c r="K175" s="61"/>
      <c r="L175" s="49"/>
      <c r="M175" s="59"/>
      <c r="N175" s="49"/>
      <c r="O175" s="49"/>
      <c r="P175" s="49"/>
      <c r="Q175" s="66"/>
      <c r="R175" s="49"/>
      <c r="S175" s="142"/>
      <c r="T175" s="142"/>
      <c r="U175" s="49"/>
      <c r="V175" s="142"/>
      <c r="W175" s="77"/>
      <c r="X175" s="80"/>
      <c r="Y175" s="80"/>
      <c r="Z175" s="77"/>
      <c r="AA175" s="79"/>
      <c r="AB175" s="79"/>
      <c r="AC175" s="77"/>
      <c r="AD175" s="79"/>
      <c r="AE175" s="79"/>
      <c r="AF175" s="79"/>
      <c r="AG175" s="77"/>
    </row>
    <row r="176" spans="1:33" ht="25.5" customHeight="1" x14ac:dyDescent="0.2">
      <c r="A176" s="37">
        <v>759</v>
      </c>
      <c r="B176" s="38">
        <f t="shared" si="44"/>
        <v>2</v>
      </c>
      <c r="C176" s="56" t="s">
        <v>406</v>
      </c>
      <c r="D176" s="39" t="str">
        <f t="shared" si="43"/>
        <v xml:space="preserve">            Annualized Misc. Replacements</v>
      </c>
      <c r="E176" s="39"/>
      <c r="F176" s="39"/>
      <c r="G176" s="39"/>
      <c r="H176" s="39"/>
      <c r="I176" s="39"/>
      <c r="J176" s="43"/>
      <c r="K176" s="61"/>
      <c r="L176" s="49"/>
      <c r="M176" s="59"/>
      <c r="N176" s="49"/>
      <c r="O176" s="49"/>
      <c r="P176" s="49"/>
      <c r="Q176" s="66"/>
      <c r="R176" s="49"/>
      <c r="S176" s="143"/>
      <c r="T176" s="143"/>
      <c r="U176" s="49"/>
      <c r="V176" s="143"/>
      <c r="W176" s="77"/>
      <c r="X176" s="80"/>
      <c r="Y176" s="80"/>
      <c r="Z176" s="77"/>
      <c r="AA176" s="79"/>
      <c r="AB176" s="79"/>
      <c r="AC176" s="77"/>
      <c r="AD176" s="79"/>
      <c r="AE176" s="79"/>
      <c r="AF176" s="79"/>
      <c r="AG176" s="77"/>
    </row>
    <row r="177" spans="1:33" ht="30" customHeight="1" x14ac:dyDescent="0.2">
      <c r="A177" s="37">
        <v>78</v>
      </c>
      <c r="B177" s="38">
        <f>IF(ISNUMBER(A177),
    IF(AND(A177=INT(A177), MOD(A177, 10) = 0), 0,
        IF(AND(A177=INT(A177), LEN(A177)=2), 1,
            IF(AND(A177=INT(A177), LEN(A177)=3), 2,
                LEN(A177) - FIND(".", A177) + 2)
        )
    ),
"")</f>
        <v>1</v>
      </c>
      <c r="C177" s="56" t="s">
        <v>407</v>
      </c>
      <c r="D177" s="39" t="str">
        <f t="shared" si="43"/>
        <v xml:space="preserve">      Annualized Decommissioning Cost</v>
      </c>
      <c r="E177" s="39"/>
      <c r="F177" s="39"/>
      <c r="G177" s="39"/>
      <c r="H177" s="39"/>
      <c r="I177" s="39"/>
      <c r="J177" s="43"/>
      <c r="K177" s="72"/>
      <c r="L177" s="49"/>
      <c r="M177" s="45"/>
      <c r="N177" s="49"/>
      <c r="O177" s="49"/>
      <c r="P177" s="49"/>
      <c r="Q177" s="66"/>
      <c r="R177" s="73"/>
      <c r="S177" s="59"/>
      <c r="T177" s="59"/>
      <c r="U177" s="49"/>
      <c r="V177" s="59" t="s">
        <v>408</v>
      </c>
      <c r="W177" s="77"/>
      <c r="X177" s="80"/>
      <c r="Y177" s="80"/>
      <c r="Z177" s="77"/>
      <c r="AA177" s="79"/>
      <c r="AB177" s="79"/>
      <c r="AC177" s="77"/>
      <c r="AD177" s="79"/>
      <c r="AE177" s="79"/>
      <c r="AF177" s="79"/>
      <c r="AG177" s="77"/>
    </row>
    <row r="178" spans="1:33" ht="15" customHeight="1" x14ac:dyDescent="0.2">
      <c r="A178" s="37">
        <v>80</v>
      </c>
      <c r="B178" s="38">
        <f>IF(ISNUMBER(A178),
IF(AND(A178=INT(A178), MOD(A178, 10) = 0), 0,
IF(AND(A178=INT(A178), LEN(A178)=2), 1,
IF(AND(A178=INT(A178), LEN(A178)=3), 2,
LEN(A178) - FIND(".", A178) + 2)
)
),
"")</f>
        <v>0</v>
      </c>
      <c r="C178" s="71" t="s">
        <v>409</v>
      </c>
      <c r="D178" s="39" t="str">
        <f t="shared" si="43"/>
        <v>Annualized Fuel Cost</v>
      </c>
      <c r="E178" s="39"/>
      <c r="F178" s="39"/>
      <c r="G178" s="39"/>
      <c r="H178" s="39"/>
      <c r="I178" s="39"/>
      <c r="J178" s="40"/>
      <c r="K178" s="40"/>
      <c r="L178" s="38"/>
      <c r="M178" s="41"/>
      <c r="N178" s="38"/>
      <c r="O178" s="38"/>
      <c r="P178" s="38"/>
      <c r="Q178" s="40"/>
      <c r="R178" s="38"/>
      <c r="S178" s="41"/>
      <c r="T178" s="38"/>
      <c r="U178" s="38"/>
      <c r="V178" s="38"/>
      <c r="W178" s="77"/>
      <c r="X178" s="80"/>
      <c r="Y178" s="80"/>
      <c r="Z178" s="77"/>
      <c r="AA178" s="79"/>
      <c r="AB178" s="79"/>
      <c r="AC178" s="77"/>
      <c r="AD178" s="79"/>
      <c r="AE178" s="79"/>
      <c r="AF178" s="79"/>
      <c r="AG178" s="77"/>
    </row>
    <row r="179" spans="1:33" ht="85" customHeight="1" x14ac:dyDescent="0.2">
      <c r="A179" s="37">
        <v>81</v>
      </c>
      <c r="B179" s="38">
        <f>IF(ISNUMBER(A179),
IF(AND(A179=INT(A179), MOD(A179, 10) = 0), 0,
IF(AND(A179=INT(A179), LEN(A179)=2), 1,
IF(AND(A179=INT(A179), LEN(A179)=3), 2,
LEN(A179) - FIND(".", A179) + 2)
)
),
"")</f>
        <v>1</v>
      </c>
      <c r="C179" s="56" t="s">
        <v>410</v>
      </c>
      <c r="D179" s="39" t="str">
        <f t="shared" si="43"/>
        <v xml:space="preserve">      Refueling Operations</v>
      </c>
      <c r="E179" s="39" t="s">
        <v>264</v>
      </c>
      <c r="F179" s="39"/>
      <c r="G179" s="39"/>
      <c r="H179" s="39"/>
      <c r="I179" s="39"/>
      <c r="J179" s="43"/>
      <c r="K179" s="61">
        <v>178500</v>
      </c>
      <c r="L179" s="49" t="s">
        <v>382</v>
      </c>
      <c r="M179" s="59" t="s">
        <v>383</v>
      </c>
      <c r="N179" s="49"/>
      <c r="O179" s="49"/>
      <c r="P179" s="49">
        <v>1</v>
      </c>
      <c r="Q179" s="66">
        <v>2024</v>
      </c>
      <c r="R179" s="73" t="s">
        <v>53</v>
      </c>
      <c r="S179" s="59"/>
      <c r="T179" s="59" t="s">
        <v>384</v>
      </c>
      <c r="U179" s="49"/>
      <c r="V179" s="49"/>
      <c r="W179" s="77" t="s">
        <v>43</v>
      </c>
      <c r="X179" s="80">
        <f>0.9*$J179</f>
        <v>0</v>
      </c>
      <c r="Y179" s="80">
        <f>1.5*J179</f>
        <v>0</v>
      </c>
      <c r="Z179" s="77" t="s">
        <v>44</v>
      </c>
      <c r="AA179" s="79">
        <f>0.9*K179</f>
        <v>160650</v>
      </c>
      <c r="AB179" s="79">
        <f>1.3*K179</f>
        <v>232050</v>
      </c>
      <c r="AC179" s="77" t="s">
        <v>44</v>
      </c>
      <c r="AD179" s="79" t="s">
        <v>45</v>
      </c>
      <c r="AE179" s="79" t="s">
        <v>46</v>
      </c>
      <c r="AF179" s="79" t="s">
        <v>47</v>
      </c>
      <c r="AG179" s="77" t="s">
        <v>48</v>
      </c>
    </row>
    <row r="180" spans="1:33" ht="15" customHeight="1" x14ac:dyDescent="0.2">
      <c r="A180" s="37">
        <v>82</v>
      </c>
      <c r="B180" s="38">
        <f>IF(ISNUMBER(A180),
IF(AND(A180=INT(A180), MOD(A180, 10) = 0), 0,
IF(AND(A180=INT(A180), LEN(A180)=2), 1,
IF(AND(A180=INT(A180), LEN(A180)=3), 2,
LEN(A180) - FIND(".", A180) + 2)
)
),
"")</f>
        <v>1</v>
      </c>
      <c r="C180" s="56" t="s">
        <v>411</v>
      </c>
      <c r="D180" s="39" t="str">
        <f t="shared" si="43"/>
        <v xml:space="preserve">      Additional Nuclear Fuel</v>
      </c>
      <c r="E180" s="39"/>
      <c r="F180" s="39"/>
      <c r="G180" s="39"/>
      <c r="H180" s="39"/>
      <c r="I180" s="39"/>
      <c r="J180" s="43"/>
      <c r="K180" s="61"/>
      <c r="L180" s="49"/>
      <c r="M180" s="59"/>
      <c r="N180" s="49"/>
      <c r="O180" s="49"/>
      <c r="P180" s="49"/>
      <c r="Q180" s="66"/>
      <c r="R180" s="49"/>
      <c r="S180" s="59"/>
      <c r="T180" s="49"/>
      <c r="U180" s="49"/>
      <c r="V180" s="49"/>
      <c r="W180" s="77"/>
      <c r="X180" s="80"/>
      <c r="Y180" s="80"/>
      <c r="Z180" s="77"/>
      <c r="AA180" s="79"/>
      <c r="AB180" s="79"/>
      <c r="AC180" s="77"/>
      <c r="AD180" s="79"/>
      <c r="AE180" s="79"/>
      <c r="AF180" s="79"/>
      <c r="AG180" s="77"/>
    </row>
    <row r="181" spans="1:33" ht="29" customHeight="1" x14ac:dyDescent="0.2">
      <c r="A181" s="37">
        <v>83</v>
      </c>
      <c r="B181" s="38">
        <f>IF(ISNUMBER(A181),
IF(AND(A181=INT(A181), MOD(A181, 10) = 0), 0,
IF(AND(A181=INT(A181), LEN(A181)=2), 1,
IF(AND(A181=INT(A181), LEN(A181)=3), 2,
LEN(A181) - FIND(".", A181) + 2)
)
),
"")</f>
        <v>1</v>
      </c>
      <c r="C181" s="56" t="s">
        <v>412</v>
      </c>
      <c r="D181" s="39" t="str">
        <f t="shared" si="43"/>
        <v xml:space="preserve">      Spent Fuel Management</v>
      </c>
      <c r="E181" s="39" t="s">
        <v>35</v>
      </c>
      <c r="F181" s="39"/>
      <c r="G181" s="39"/>
      <c r="H181" s="39"/>
      <c r="I181" s="39"/>
      <c r="J181" s="43"/>
      <c r="K181" s="61">
        <v>1</v>
      </c>
      <c r="L181" s="49" t="s">
        <v>413</v>
      </c>
      <c r="M181" s="59" t="s">
        <v>414</v>
      </c>
      <c r="N181" s="49"/>
      <c r="O181" s="49"/>
      <c r="P181" s="49">
        <v>1</v>
      </c>
      <c r="Q181" s="66">
        <v>2024</v>
      </c>
      <c r="R181" s="49" t="s">
        <v>86</v>
      </c>
      <c r="S181" s="59"/>
      <c r="T181" s="49"/>
      <c r="U181" s="49"/>
      <c r="V181" s="49"/>
      <c r="W181" s="77" t="s">
        <v>43</v>
      </c>
      <c r="X181" s="80">
        <f>0.9*$J181</f>
        <v>0</v>
      </c>
      <c r="Y181" s="80">
        <f>1.5*J181</f>
        <v>0</v>
      </c>
      <c r="Z181" s="77" t="s">
        <v>44</v>
      </c>
      <c r="AA181" s="79">
        <f>0.9*K181</f>
        <v>0.9</v>
      </c>
      <c r="AB181" s="79">
        <f>1.3*K181</f>
        <v>1.3</v>
      </c>
      <c r="AC181" s="77" t="s">
        <v>44</v>
      </c>
      <c r="AD181" s="79" t="s">
        <v>45</v>
      </c>
      <c r="AE181" s="79" t="s">
        <v>46</v>
      </c>
      <c r="AF181" s="79" t="s">
        <v>47</v>
      </c>
      <c r="AG181" s="77" t="s">
        <v>48</v>
      </c>
    </row>
  </sheetData>
  <autoFilter ref="A1:AB181" xr:uid="{00000000-0009-0000-0000-000000000000}"/>
  <mergeCells count="53">
    <mergeCell ref="T135:T140"/>
    <mergeCell ref="U30:U32"/>
    <mergeCell ref="S52:S54"/>
    <mergeCell ref="T170:T176"/>
    <mergeCell ref="U15:U17"/>
    <mergeCell ref="U46:U48"/>
    <mergeCell ref="S142:S147"/>
    <mergeCell ref="U41:U43"/>
    <mergeCell ref="S61:S63"/>
    <mergeCell ref="U61:U63"/>
    <mergeCell ref="U57:U59"/>
    <mergeCell ref="S170:S176"/>
    <mergeCell ref="U76:U80"/>
    <mergeCell ref="S57:S59"/>
    <mergeCell ref="S37:S39"/>
    <mergeCell ref="U86:U96"/>
    <mergeCell ref="U3:U4"/>
    <mergeCell ref="T57:T59"/>
    <mergeCell ref="T15:T17"/>
    <mergeCell ref="S41:S43"/>
    <mergeCell ref="U106:U107"/>
    <mergeCell ref="T68:T73"/>
    <mergeCell ref="S46:S48"/>
    <mergeCell ref="S22:S24"/>
    <mergeCell ref="U22:U24"/>
    <mergeCell ref="T30:T32"/>
    <mergeCell ref="U5:U6"/>
    <mergeCell ref="T3:T4"/>
    <mergeCell ref="S11:S13"/>
    <mergeCell ref="U11:U13"/>
    <mergeCell ref="U37:U39"/>
    <mergeCell ref="T106:T107"/>
    <mergeCell ref="S135:S140"/>
    <mergeCell ref="T11:T13"/>
    <mergeCell ref="V170:V176"/>
    <mergeCell ref="S30:S32"/>
    <mergeCell ref="S15:S17"/>
    <mergeCell ref="T37:T39"/>
    <mergeCell ref="T46:T48"/>
    <mergeCell ref="T22:T24"/>
    <mergeCell ref="U52:U54"/>
    <mergeCell ref="S26:S28"/>
    <mergeCell ref="U26:U28"/>
    <mergeCell ref="T52:T54"/>
    <mergeCell ref="V120:V121"/>
    <mergeCell ref="S152:S155"/>
    <mergeCell ref="T142:T147"/>
    <mergeCell ref="V52:V54"/>
    <mergeCell ref="T26:T28"/>
    <mergeCell ref="T41:T43"/>
    <mergeCell ref="V106:V107"/>
    <mergeCell ref="T61:T63"/>
    <mergeCell ref="T76:T80"/>
  </mergeCells>
  <conditionalFormatting sqref="A97:B103">
    <cfRule type="expression" dxfId="301" priority="572">
      <formula>$B97=3</formula>
    </cfRule>
    <cfRule type="expression" dxfId="300" priority="573">
      <formula>$B97=2</formula>
    </cfRule>
    <cfRule type="expression" dxfId="299" priority="574">
      <formula>$B97&lt;2</formula>
    </cfRule>
  </conditionalFormatting>
  <conditionalFormatting sqref="A106:F108 U113:V119 U120:U121 A135:B140 N142:V142 N143:R143 U143:V148 K144:R144 A148:T148 T152:V157 A158:V161 A162:J163">
    <cfRule type="expression" dxfId="298" priority="788">
      <formula>$B106=0</formula>
    </cfRule>
  </conditionalFormatting>
  <conditionalFormatting sqref="A97:I103">
    <cfRule type="expression" dxfId="297" priority="35">
      <formula>$B97=0</formula>
    </cfRule>
  </conditionalFormatting>
  <conditionalFormatting sqref="A147:R147">
    <cfRule type="expression" dxfId="296" priority="736">
      <formula>$B147=0</formula>
    </cfRule>
  </conditionalFormatting>
  <conditionalFormatting sqref="A150:R157">
    <cfRule type="expression" dxfId="295" priority="681">
      <formula>$B150=3</formula>
    </cfRule>
    <cfRule type="expression" dxfId="294" priority="684">
      <formula>$B150=0</formula>
    </cfRule>
    <cfRule type="expression" dxfId="293" priority="683">
      <formula>$B150&lt;2</formula>
    </cfRule>
    <cfRule type="expression" dxfId="292" priority="682">
      <formula>$B150=2</formula>
    </cfRule>
  </conditionalFormatting>
  <conditionalFormatting sqref="A124:S125 U124:V125 U166:V168">
    <cfRule type="expression" dxfId="291" priority="581">
      <formula>$B124=0</formula>
    </cfRule>
  </conditionalFormatting>
  <conditionalFormatting sqref="A105:U105">
    <cfRule type="expression" dxfId="290" priority="792">
      <formula>$B105=0</formula>
    </cfRule>
    <cfRule type="expression" dxfId="289" priority="791">
      <formula>$B105&lt;2</formula>
    </cfRule>
    <cfRule type="expression" dxfId="288" priority="790">
      <formula>$B105=2</formula>
    </cfRule>
    <cfRule type="expression" dxfId="287" priority="789">
      <formula>$B105=3</formula>
    </cfRule>
  </conditionalFormatting>
  <conditionalFormatting sqref="A74:V96 A104:V104 A170:R176">
    <cfRule type="expression" dxfId="286" priority="487">
      <formula>$B74=2</formula>
    </cfRule>
    <cfRule type="expression" dxfId="285" priority="486">
      <formula>$B74=3</formula>
    </cfRule>
    <cfRule type="expression" dxfId="284" priority="488">
      <formula>$B74&lt;2</formula>
    </cfRule>
  </conditionalFormatting>
  <conditionalFormatting sqref="A76:V83">
    <cfRule type="expression" dxfId="283" priority="576">
      <formula>$B76=0</formula>
    </cfRule>
  </conditionalFormatting>
  <conditionalFormatting sqref="A95:V96 D97:D103 A122:V123 A126:V140 A141:AG144 A145:G146 I145:AG146 A147:AG169">
    <cfRule type="expression" dxfId="282" priority="621">
      <formula>$B95&lt;2</formula>
    </cfRule>
  </conditionalFormatting>
  <conditionalFormatting sqref="A109:V111 U113:V119 U120:U121 A124:S125 U124:V125 A141:AG144 A145:G146 I145:AG146 A147:AG169 A135:B140 U135:V140 U143:V148 A5:S6 A106:F108 A1:AG4 U5:AG6">
    <cfRule type="expression" dxfId="281" priority="785">
      <formula>$B1=3</formula>
    </cfRule>
  </conditionalFormatting>
  <conditionalFormatting sqref="A122:V123 A126:V140 A95:V96 D97:D103 A141:AG144 A145:G146 I145:AG146 A147:AG169">
    <cfRule type="expression" dxfId="280" priority="620">
      <formula>$B95=2</formula>
    </cfRule>
  </conditionalFormatting>
  <conditionalFormatting sqref="A122:V123">
    <cfRule type="expression" dxfId="279" priority="756">
      <formula>$B122=0</formula>
    </cfRule>
  </conditionalFormatting>
  <conditionalFormatting sqref="A126:V140 A122:V123">
    <cfRule type="expression" dxfId="278" priority="619">
      <formula>$B122=3</formula>
    </cfRule>
  </conditionalFormatting>
  <conditionalFormatting sqref="A149:V149">
    <cfRule type="expression" dxfId="277" priority="717">
      <formula>$B149=3</formula>
    </cfRule>
    <cfRule type="expression" dxfId="276" priority="718">
      <formula>$B149=2</formula>
    </cfRule>
    <cfRule type="expression" dxfId="275" priority="719">
      <formula>$B149&lt;2</formula>
    </cfRule>
    <cfRule type="expression" dxfId="274" priority="720">
      <formula>$B149=0</formula>
    </cfRule>
  </conditionalFormatting>
  <conditionalFormatting sqref="A178:V181">
    <cfRule type="expression" dxfId="273" priority="649">
      <formula>$B178=3</formula>
    </cfRule>
    <cfRule type="expression" dxfId="272" priority="650">
      <formula>$B178=2</formula>
    </cfRule>
    <cfRule type="expression" dxfId="271" priority="651">
      <formula>$B178&lt;2</formula>
    </cfRule>
    <cfRule type="expression" dxfId="270" priority="652">
      <formula>$B178=0</formula>
    </cfRule>
  </conditionalFormatting>
  <conditionalFormatting sqref="A1:AG4 A5:S6 U5:AG6 A106:F108 A109:V111 U113:V119 U120:U121 A124:S125 U124:V125 A135:B140 U135:V140 A141:V141 N142:V142 N143:R143 U143:V148 K144:R144 A148:T148 T152:V157 A158:V161 A162:J163 A164:L168 U166:V168">
    <cfRule type="expression" dxfId="269" priority="787">
      <formula>$B1&lt;2</formula>
    </cfRule>
    <cfRule type="expression" dxfId="268" priority="786">
      <formula>$B1=2</formula>
    </cfRule>
  </conditionalFormatting>
  <conditionalFormatting sqref="A1:AG4 A5:S6 U5:AG6 A7:AG51 A170:R176">
    <cfRule type="expression" dxfId="267" priority="489">
      <formula>$B1=0</formula>
    </cfRule>
  </conditionalFormatting>
  <conditionalFormatting sqref="A7:AG48">
    <cfRule type="expression" dxfId="266" priority="551">
      <formula>$B7=3</formula>
    </cfRule>
    <cfRule type="expression" dxfId="265" priority="552">
      <formula>$B7=2</formula>
    </cfRule>
    <cfRule type="expression" dxfId="264" priority="553">
      <formula>$B7&lt;2</formula>
    </cfRule>
  </conditionalFormatting>
  <conditionalFormatting sqref="A49:AG51 F52:AG52 A52:E54 F53:U54 W53:AG54 A55:AG75 A76:V82 A83:AG84 A97:B103 A109:AG120 A121:U121 W121:AG121 A122:AG131 A132:V132 A133:Y133 A134:AG134 S170:AG170 U171:U176 W171:AG176 A177:AG181 A94:AG94">
    <cfRule type="expression" dxfId="263" priority="750">
      <formula>$B49=2</formula>
    </cfRule>
  </conditionalFormatting>
  <conditionalFormatting sqref="A49:AG51 F52:AG52 A52:E54 F53:U54 W53:AG54 A55:AG75 A76:V82 A83:AG84 A94:AG94 A97:B103 A109:AG120 A121:U121 W121:AG121 A122:AG131 A132:V132 A133:Y133 A134:AG134 S170:AG170 U171:U176 W171:AG176 A177:AG181">
    <cfRule type="expression" dxfId="262" priority="751">
      <formula>$B49&lt;2</formula>
    </cfRule>
  </conditionalFormatting>
  <conditionalFormatting sqref="A83:AG96">
    <cfRule type="expression" dxfId="261" priority="64">
      <formula>$B83=0</formula>
    </cfRule>
  </conditionalFormatting>
  <conditionalFormatting sqref="A85:AG85">
    <cfRule type="expression" dxfId="260" priority="61">
      <formula>$B85=3</formula>
    </cfRule>
    <cfRule type="expression" dxfId="259" priority="62">
      <formula>$B85=2</formula>
    </cfRule>
    <cfRule type="expression" dxfId="258" priority="63">
      <formula>$B85&lt;2</formula>
    </cfRule>
  </conditionalFormatting>
  <conditionalFormatting sqref="A86:AG93">
    <cfRule type="expression" dxfId="257" priority="522">
      <formula>$B86=3</formula>
    </cfRule>
    <cfRule type="expression" dxfId="256" priority="523">
      <formula>$B86=2</formula>
    </cfRule>
    <cfRule type="expression" dxfId="255" priority="524">
      <formula>$B86&lt;2</formula>
    </cfRule>
  </conditionalFormatting>
  <conditionalFormatting sqref="A94:AG96 D97:D103 A145:G146 I145:R146 A147:R147">
    <cfRule type="expression" dxfId="254" priority="733">
      <formula>$B94=3</formula>
    </cfRule>
  </conditionalFormatting>
  <conditionalFormatting sqref="A104:AG108">
    <cfRule type="expression" dxfId="253" priority="508">
      <formula>$B104&lt;2</formula>
    </cfRule>
    <cfRule type="expression" dxfId="252" priority="507">
      <formula>$B104=2</formula>
    </cfRule>
    <cfRule type="expression" dxfId="251" priority="506">
      <formula>$B104=3</formula>
    </cfRule>
  </conditionalFormatting>
  <conditionalFormatting sqref="A133:AG134">
    <cfRule type="expression" dxfId="250" priority="481">
      <formula>$B133=0</formula>
    </cfRule>
  </conditionalFormatting>
  <conditionalFormatting sqref="A141:AG144 A145:G146 I145:AG146 A147:AG169">
    <cfRule type="expression" dxfId="249" priority="554">
      <formula>$B141=0</formula>
    </cfRule>
  </conditionalFormatting>
  <conditionalFormatting sqref="A177:AG181 A55:AG75 A83:AG84 A122:AG131 A132:V132 A133:Y133 A134:AG134 A109:AG120 A76:V82 A97:B103 A49:AG51 F52:AG52 F53:U54 A52:E54 W53:AG54 A121:U121 W121:AG121 S170:AG170 U171:U176 W171:AG176">
    <cfRule type="expression" dxfId="248" priority="749">
      <formula>$B49=3</formula>
    </cfRule>
  </conditionalFormatting>
  <conditionalFormatting sqref="C97:C98">
    <cfRule type="expression" dxfId="247" priority="426">
      <formula>$B97=3</formula>
    </cfRule>
    <cfRule type="expression" dxfId="246" priority="427">
      <formula>$B97=2</formula>
    </cfRule>
    <cfRule type="expression" dxfId="245" priority="428">
      <formula>$B97&lt;2</formula>
    </cfRule>
  </conditionalFormatting>
  <conditionalFormatting sqref="C97:C100">
    <cfRule type="expression" dxfId="244" priority="419">
      <formula>$B97=3</formula>
    </cfRule>
    <cfRule type="expression" dxfId="243" priority="421">
      <formula>$B97&lt;2</formula>
    </cfRule>
    <cfRule type="expression" dxfId="242" priority="420">
      <formula>$B97=2</formula>
    </cfRule>
  </conditionalFormatting>
  <conditionalFormatting sqref="C99:C102">
    <cfRule type="expression" dxfId="241" priority="414">
      <formula>$B99&lt;2</formula>
    </cfRule>
    <cfRule type="expression" dxfId="240" priority="413">
      <formula>$B99=2</formula>
    </cfRule>
    <cfRule type="expression" dxfId="239" priority="412">
      <formula>$B99=3</formula>
    </cfRule>
  </conditionalFormatting>
  <conditionalFormatting sqref="C101:C103">
    <cfRule type="expression" dxfId="238" priority="407">
      <formula>$B101&lt;2</formula>
    </cfRule>
    <cfRule type="expression" dxfId="237" priority="406">
      <formula>$B101=2</formula>
    </cfRule>
    <cfRule type="expression" dxfId="236" priority="405">
      <formula>$B101=3</formula>
    </cfRule>
  </conditionalFormatting>
  <conditionalFormatting sqref="C102:C103">
    <cfRule type="expression" dxfId="235" priority="53">
      <formula>$B102&lt;2</formula>
    </cfRule>
    <cfRule type="expression" dxfId="234" priority="51">
      <formula>$B102=3</formula>
    </cfRule>
    <cfRule type="expression" dxfId="233" priority="52">
      <formula>$B102=2</formula>
    </cfRule>
  </conditionalFormatting>
  <conditionalFormatting sqref="C135:T135 C136:R140">
    <cfRule type="expression" dxfId="232" priority="608">
      <formula>$B135=3</formula>
    </cfRule>
    <cfRule type="expression" dxfId="231" priority="609">
      <formula>$B135=2</formula>
    </cfRule>
    <cfRule type="expression" dxfId="230" priority="610">
      <formula>$B135&lt;2</formula>
    </cfRule>
    <cfRule type="expression" dxfId="229" priority="611">
      <formula>$B135=0</formula>
    </cfRule>
  </conditionalFormatting>
  <conditionalFormatting sqref="D2:D80 D82 D84:D134 D141:D181">
    <cfRule type="colorScale" priority="1037">
      <colorScale>
        <cfvo type="min"/>
        <cfvo type="max"/>
        <color rgb="FFFF7128"/>
        <color rgb="FFFFEF9C"/>
      </colorScale>
    </cfRule>
  </conditionalFormatting>
  <conditionalFormatting sqref="D81">
    <cfRule type="colorScale" priority="586">
      <colorScale>
        <cfvo type="min"/>
        <cfvo type="max"/>
        <color rgb="FFFF7128"/>
        <color rgb="FFFFEF9C"/>
      </colorScale>
    </cfRule>
  </conditionalFormatting>
  <conditionalFormatting sqref="D83">
    <cfRule type="colorScale" priority="632">
      <colorScale>
        <cfvo type="min"/>
        <cfvo type="max"/>
        <color rgb="FFFF7128"/>
        <color rgb="FFFFEF9C"/>
      </colorScale>
    </cfRule>
  </conditionalFormatting>
  <conditionalFormatting sqref="D135:D140">
    <cfRule type="colorScale" priority="612">
      <colorScale>
        <cfvo type="min"/>
        <cfvo type="max"/>
        <color rgb="FFFF7128"/>
        <color rgb="FFFFEF9C"/>
      </colorScale>
    </cfRule>
  </conditionalFormatting>
  <conditionalFormatting sqref="D97:E103">
    <cfRule type="expression" dxfId="228" priority="398">
      <formula>$B97=3</formula>
    </cfRule>
    <cfRule type="expression" dxfId="227" priority="399">
      <formula>$B97=2</formula>
    </cfRule>
    <cfRule type="expression" dxfId="226" priority="400">
      <formula>$B97&lt;2</formula>
    </cfRule>
  </conditionalFormatting>
  <conditionalFormatting sqref="E97:E103">
    <cfRule type="expression" dxfId="225" priority="395">
      <formula>$B97=3</formula>
    </cfRule>
    <cfRule type="expression" dxfId="224" priority="396">
      <formula>$B97=2</formula>
    </cfRule>
    <cfRule type="expression" dxfId="223" priority="397">
      <formula>$B97&lt;2</formula>
    </cfRule>
  </conditionalFormatting>
  <conditionalFormatting sqref="E83:Q83 Q124:Q125">
    <cfRule type="expression" dxfId="222" priority="627">
      <formula>_xlfn.ISFORMULA(E83)</formula>
    </cfRule>
  </conditionalFormatting>
  <conditionalFormatting sqref="E135:Q140">
    <cfRule type="expression" dxfId="221" priority="607">
      <formula>_xlfn.ISFORMULA(E135)</formula>
    </cfRule>
  </conditionalFormatting>
  <conditionalFormatting sqref="F102:F103 F97:I99 F100 H100:I100 F101:I101 H102:I102">
    <cfRule type="expression" dxfId="220" priority="187">
      <formula>$B97=3</formula>
    </cfRule>
  </conditionalFormatting>
  <conditionalFormatting sqref="F103">
    <cfRule type="expression" dxfId="219" priority="21">
      <formula>$B103=2</formula>
    </cfRule>
    <cfRule type="expression" dxfId="218" priority="22">
      <formula>$B103&lt;2</formula>
    </cfRule>
    <cfRule type="expression" dxfId="217" priority="20">
      <formula>$B103=3</formula>
    </cfRule>
  </conditionalFormatting>
  <conditionalFormatting sqref="F109:F111">
    <cfRule type="expression" dxfId="216" priority="74">
      <formula>$B109=0</formula>
    </cfRule>
  </conditionalFormatting>
  <conditionalFormatting sqref="F111">
    <cfRule type="expression" dxfId="215" priority="68">
      <formula>$B111=3</formula>
    </cfRule>
    <cfRule type="expression" dxfId="214" priority="69">
      <formula>$B111=2</formula>
    </cfRule>
    <cfRule type="expression" dxfId="213" priority="70">
      <formula>$B111&lt;2</formula>
    </cfRule>
  </conditionalFormatting>
  <conditionalFormatting sqref="F102:G102">
    <cfRule type="expression" dxfId="212" priority="23">
      <formula>$B102=3</formula>
    </cfRule>
    <cfRule type="expression" dxfId="211" priority="25">
      <formula>$B102&lt;2</formula>
    </cfRule>
    <cfRule type="expression" dxfId="210" priority="24">
      <formula>$B102=2</formula>
    </cfRule>
  </conditionalFormatting>
  <conditionalFormatting sqref="F109:G110">
    <cfRule type="expression" dxfId="209" priority="71">
      <formula>$B109=3</formula>
    </cfRule>
    <cfRule type="expression" dxfId="208" priority="72">
      <formula>$B109=2</formula>
    </cfRule>
    <cfRule type="expression" dxfId="207" priority="73">
      <formula>$B109&lt;2</formula>
    </cfRule>
  </conditionalFormatting>
  <conditionalFormatting sqref="F51:I54">
    <cfRule type="expression" dxfId="206" priority="556">
      <formula>$B51=3</formula>
    </cfRule>
    <cfRule type="expression" dxfId="205" priority="557">
      <formula>$B51=2</formula>
    </cfRule>
    <cfRule type="expression" dxfId="204" priority="558">
      <formula>$B51&lt;2</formula>
    </cfRule>
    <cfRule type="expression" dxfId="203" priority="559">
      <formula>$B51=0</formula>
    </cfRule>
  </conditionalFormatting>
  <conditionalFormatting sqref="F97:I98">
    <cfRule type="expression" dxfId="202" priority="378">
      <formula>$B97=2</formula>
    </cfRule>
    <cfRule type="expression" dxfId="201" priority="379">
      <formula>$B97&lt;2</formula>
    </cfRule>
    <cfRule type="expression" dxfId="200" priority="377">
      <formula>$B97=3</formula>
    </cfRule>
  </conditionalFormatting>
  <conditionalFormatting sqref="F97:I99 F100 H100:I100 F101:I101 H102:I102 F102:F103">
    <cfRule type="expression" dxfId="199" priority="188">
      <formula>$B97=2</formula>
    </cfRule>
    <cfRule type="expression" dxfId="198" priority="189">
      <formula>$B97&lt;2</formula>
    </cfRule>
  </conditionalFormatting>
  <conditionalFormatting sqref="F99:I101">
    <cfRule type="expression" dxfId="197" priority="59">
      <formula>$B99&lt;2</formula>
    </cfRule>
    <cfRule type="expression" dxfId="196" priority="57">
      <formula>$B99=3</formula>
    </cfRule>
    <cfRule type="expression" dxfId="195" priority="58">
      <formula>$B99=2</formula>
    </cfRule>
  </conditionalFormatting>
  <conditionalFormatting sqref="F102:I103">
    <cfRule type="expression" dxfId="194" priority="32">
      <formula>$B102=3</formula>
    </cfRule>
    <cfRule type="expression" dxfId="193" priority="33">
      <formula>$B102=2</formula>
    </cfRule>
    <cfRule type="expression" dxfId="192" priority="34">
      <formula>$B102&lt;2</formula>
    </cfRule>
  </conditionalFormatting>
  <conditionalFormatting sqref="F103:I103">
    <cfRule type="expression" dxfId="191" priority="182">
      <formula>$B103&lt;2</formula>
    </cfRule>
    <cfRule type="expression" dxfId="190" priority="181">
      <formula>$B103=2</formula>
    </cfRule>
    <cfRule type="expression" dxfId="189" priority="180">
      <formula>$B103=3</formula>
    </cfRule>
  </conditionalFormatting>
  <conditionalFormatting sqref="F53:U54 W53:AG54 A55:AG75 A104:AG105 A106:V109 A109:AG120 A121:U121 W121:AG121 A122:AG131 A126:V141 S170:AG170 U171:U176 W171:AG176 A177:AG181">
    <cfRule type="expression" dxfId="188" priority="752">
      <formula>$B53=0</formula>
    </cfRule>
  </conditionalFormatting>
  <conditionalFormatting sqref="F52:AG52 A52:E54">
    <cfRule type="expression" dxfId="187" priority="550">
      <formula>$B52=0</formula>
    </cfRule>
  </conditionalFormatting>
  <conditionalFormatting sqref="G100">
    <cfRule type="expression" dxfId="186" priority="56">
      <formula>$B100&lt;2</formula>
    </cfRule>
    <cfRule type="expression" dxfId="185" priority="55">
      <formula>$B100=2</formula>
    </cfRule>
    <cfRule type="expression" dxfId="184" priority="54">
      <formula>$B100=3</formula>
    </cfRule>
  </conditionalFormatting>
  <conditionalFormatting sqref="G106:I107">
    <cfRule type="expression" dxfId="183" priority="784">
      <formula>$B106=0</formula>
    </cfRule>
    <cfRule type="expression" dxfId="182" priority="783">
      <formula>$B106&lt;2</formula>
    </cfRule>
    <cfRule type="expression" dxfId="181" priority="782">
      <formula>$B106=2</formula>
    </cfRule>
    <cfRule type="expression" dxfId="180" priority="781">
      <formula>$B106=3</formula>
    </cfRule>
  </conditionalFormatting>
  <conditionalFormatting sqref="H145:H146 K162:L163">
    <cfRule type="expression" dxfId="179" priority="666">
      <formula>$B146=2</formula>
    </cfRule>
    <cfRule type="expression" dxfId="178" priority="667">
      <formula>$B146&lt;2</formula>
    </cfRule>
    <cfRule type="expression" dxfId="177" priority="668">
      <formula>$B146=0</formula>
    </cfRule>
  </conditionalFormatting>
  <conditionalFormatting sqref="H145:H146">
    <cfRule type="expression" dxfId="176" priority="1057">
      <formula>$B146&lt;2</formula>
    </cfRule>
    <cfRule type="expression" dxfId="175" priority="1059">
      <formula>$B146=3</formula>
    </cfRule>
    <cfRule type="expression" dxfId="174" priority="1056">
      <formula>$B146=2</formula>
    </cfRule>
  </conditionalFormatting>
  <conditionalFormatting sqref="J5">
    <cfRule type="expression" dxfId="173" priority="587">
      <formula>$B5=3</formula>
    </cfRule>
    <cfRule type="expression" dxfId="172" priority="588">
      <formula>$B5=2</formula>
    </cfRule>
    <cfRule type="expression" dxfId="171" priority="589">
      <formula>$B5&lt;2</formula>
    </cfRule>
    <cfRule type="expression" dxfId="170" priority="590">
      <formula>$B5=0</formula>
    </cfRule>
  </conditionalFormatting>
  <conditionalFormatting sqref="J71:L73">
    <cfRule type="expression" dxfId="169" priority="638">
      <formula>_xlfn.ISFORMULA(J71)</formula>
    </cfRule>
    <cfRule type="expression" dxfId="168" priority="642">
      <formula>$B71=0</formula>
    </cfRule>
  </conditionalFormatting>
  <conditionalFormatting sqref="J1:Q96 J104:Q1048576">
    <cfRule type="expression" dxfId="167" priority="648">
      <formula>_xlfn.ISFORMULA(J1)</formula>
    </cfRule>
  </conditionalFormatting>
  <conditionalFormatting sqref="J68:Q70">
    <cfRule type="expression" dxfId="166" priority="643">
      <formula>_xlfn.ISFORMULA(J68)</formula>
    </cfRule>
  </conditionalFormatting>
  <conditionalFormatting sqref="J69:S73">
    <cfRule type="expression" dxfId="165" priority="636">
      <formula>$B69&lt;2</formula>
    </cfRule>
    <cfRule type="expression" dxfId="164" priority="634">
      <formula>$B69=3</formula>
    </cfRule>
    <cfRule type="expression" dxfId="163" priority="635">
      <formula>$B69=2</formula>
    </cfRule>
  </conditionalFormatting>
  <conditionalFormatting sqref="J68:V68 J69:S70 U69:V73">
    <cfRule type="expression" dxfId="162" priority="647">
      <formula>$B68=0</formula>
    </cfRule>
  </conditionalFormatting>
  <conditionalFormatting sqref="J68:V68 U69:V73">
    <cfRule type="expression" dxfId="161" priority="646">
      <formula>$B68&lt;2</formula>
    </cfRule>
    <cfRule type="expression" dxfId="160" priority="645">
      <formula>$B68=2</formula>
    </cfRule>
    <cfRule type="expression" dxfId="159" priority="644">
      <formula>$B68=3</formula>
    </cfRule>
  </conditionalFormatting>
  <conditionalFormatting sqref="K81">
    <cfRule type="expression" dxfId="158" priority="580">
      <formula>_xlfn.ISFORMULA(K81)</formula>
    </cfRule>
  </conditionalFormatting>
  <conditionalFormatting sqref="K162:L163 H145:H146">
    <cfRule type="expression" dxfId="157" priority="665">
      <formula>$B146=3</formula>
    </cfRule>
  </conditionalFormatting>
  <conditionalFormatting sqref="K97:M98">
    <cfRule type="expression" dxfId="156" priority="333">
      <formula>$B97&lt;2</formula>
    </cfRule>
    <cfRule type="expression" dxfId="155" priority="331">
      <formula>$B97=3</formula>
    </cfRule>
    <cfRule type="expression" dxfId="154" priority="332">
      <formula>$B97=2</formula>
    </cfRule>
  </conditionalFormatting>
  <conditionalFormatting sqref="K97:M101">
    <cfRule type="expression" dxfId="153" priority="157">
      <formula>$B97=3</formula>
    </cfRule>
    <cfRule type="expression" dxfId="152" priority="158">
      <formula>$B97=2</formula>
    </cfRule>
    <cfRule type="expression" dxfId="151" priority="159">
      <formula>$B97&lt;2</formula>
    </cfRule>
  </conditionalFormatting>
  <conditionalFormatting sqref="K97:M103">
    <cfRule type="expression" dxfId="150" priority="152">
      <formula>$B97=0</formula>
    </cfRule>
    <cfRule type="expression" dxfId="149" priority="148">
      <formula>_xlfn.ISFORMULA(K97)</formula>
    </cfRule>
  </conditionalFormatting>
  <conditionalFormatting sqref="K99:M103">
    <cfRule type="expression" dxfId="148" priority="150">
      <formula>$B99=2</formula>
    </cfRule>
    <cfRule type="expression" dxfId="147" priority="151">
      <formula>$B99&lt;2</formula>
    </cfRule>
    <cfRule type="expression" dxfId="146" priority="149">
      <formula>$B99=3</formula>
    </cfRule>
  </conditionalFormatting>
  <conditionalFormatting sqref="K102:M102">
    <cfRule type="expression" dxfId="145" priority="50">
      <formula>$B102&lt;2</formula>
    </cfRule>
    <cfRule type="expression" dxfId="144" priority="49">
      <formula>$B102=2</formula>
    </cfRule>
    <cfRule type="expression" dxfId="143" priority="48">
      <formula>$B102=3</formula>
    </cfRule>
  </conditionalFormatting>
  <conditionalFormatting sqref="K103:M103">
    <cfRule type="expression" dxfId="142" priority="1">
      <formula>$B103=3</formula>
    </cfRule>
    <cfRule type="expression" dxfId="141" priority="3">
      <formula>$B103&lt;2</formula>
    </cfRule>
    <cfRule type="expression" dxfId="140" priority="2">
      <formula>$B103=2</formula>
    </cfRule>
  </conditionalFormatting>
  <conditionalFormatting sqref="K142:M143">
    <cfRule type="expression" dxfId="139" priority="746">
      <formula>$B142=2</formula>
    </cfRule>
    <cfRule type="expression" dxfId="138" priority="747">
      <formula>$B142&lt;2</formula>
    </cfRule>
    <cfRule type="expression" dxfId="137" priority="745">
      <formula>$B142=3</formula>
    </cfRule>
    <cfRule type="expression" dxfId="136" priority="748">
      <formula>$B142=0</formula>
    </cfRule>
  </conditionalFormatting>
  <conditionalFormatting sqref="L112">
    <cfRule type="expression" dxfId="135" priority="987">
      <formula>#REF!=3</formula>
    </cfRule>
    <cfRule type="expression" dxfId="134" priority="986">
      <formula>#REF!=0</formula>
    </cfRule>
    <cfRule type="expression" dxfId="133" priority="985">
      <formula>#REF!&lt;2</formula>
    </cfRule>
    <cfRule type="expression" dxfId="132" priority="984">
      <formula>#REF!=2</formula>
    </cfRule>
    <cfRule type="expression" dxfId="131" priority="594">
      <formula>$B112=0</formula>
    </cfRule>
  </conditionalFormatting>
  <conditionalFormatting sqref="L112:V112">
    <cfRule type="expression" dxfId="130" priority="593">
      <formula>$B112&lt;2</formula>
    </cfRule>
    <cfRule type="expression" dxfId="129" priority="592">
      <formula>$B112=2</formula>
    </cfRule>
    <cfRule type="expression" dxfId="128" priority="591">
      <formula>$B112=3</formula>
    </cfRule>
  </conditionalFormatting>
  <conditionalFormatting sqref="M102:M103">
    <cfRule type="expression" dxfId="127" priority="17">
      <formula>$B102=3</formula>
    </cfRule>
    <cfRule type="expression" dxfId="126" priority="18">
      <formula>$B102=2</formula>
    </cfRule>
    <cfRule type="expression" dxfId="125" priority="19">
      <formula>$B102&lt;2</formula>
    </cfRule>
  </conditionalFormatting>
  <conditionalFormatting sqref="N81">
    <cfRule type="expression" dxfId="124" priority="575">
      <formula>_xlfn.ISFORMULA(N81)</formula>
    </cfRule>
  </conditionalFormatting>
  <conditionalFormatting sqref="O97:O98">
    <cfRule type="expression" dxfId="123" priority="315">
      <formula>$B97=3</formula>
    </cfRule>
    <cfRule type="expression" dxfId="122" priority="317">
      <formula>$B97&lt;2</formula>
    </cfRule>
    <cfRule type="expression" dxfId="121" priority="316">
      <formula>$B97=2</formula>
    </cfRule>
  </conditionalFormatting>
  <conditionalFormatting sqref="O97:O103">
    <cfRule type="expression" dxfId="120" priority="310">
      <formula>$B97=0</formula>
    </cfRule>
    <cfRule type="expression" dxfId="119" priority="309">
      <formula>$B97&lt;2</formula>
    </cfRule>
    <cfRule type="expression" dxfId="118" priority="308">
      <formula>$B97=2</formula>
    </cfRule>
    <cfRule type="expression" dxfId="117" priority="307">
      <formula>$B97=3</formula>
    </cfRule>
    <cfRule type="expression" dxfId="116" priority="306">
      <formula>_xlfn.ISFORMULA(O97)</formula>
    </cfRule>
  </conditionalFormatting>
  <conditionalFormatting sqref="O99:O103">
    <cfRule type="expression" dxfId="115" priority="305">
      <formula>$B99&lt;2</formula>
    </cfRule>
    <cfRule type="expression" dxfId="114" priority="304">
      <formula>$B99=2</formula>
    </cfRule>
    <cfRule type="expression" dxfId="113" priority="303">
      <formula>$B99=3</formula>
    </cfRule>
  </conditionalFormatting>
  <conditionalFormatting sqref="Q71:Q73">
    <cfRule type="expression" dxfId="112" priority="633">
      <formula>_xlfn.ISFORMULA(Q71)</formula>
    </cfRule>
  </conditionalFormatting>
  <conditionalFormatting sqref="Q97:Q103">
    <cfRule type="expression" dxfId="111" priority="132">
      <formula>_xlfn.ISFORMULA(Q97)</formula>
    </cfRule>
  </conditionalFormatting>
  <conditionalFormatting sqref="Q149">
    <cfRule type="expression" dxfId="110" priority="802">
      <formula>$B150=3</formula>
    </cfRule>
    <cfRule type="expression" dxfId="109" priority="803">
      <formula>$B150=2</formula>
    </cfRule>
    <cfRule type="expression" dxfId="108" priority="804">
      <formula>$B150&lt;2</formula>
    </cfRule>
    <cfRule type="expression" dxfId="107" priority="805">
      <formula>$B150=0</formula>
    </cfRule>
  </conditionalFormatting>
  <conditionalFormatting sqref="Q97:R98">
    <cfRule type="expression" dxfId="106" priority="285">
      <formula>$B97&lt;2</formula>
    </cfRule>
    <cfRule type="expression" dxfId="105" priority="284">
      <formula>$B97=2</formula>
    </cfRule>
    <cfRule type="expression" dxfId="104" priority="283">
      <formula>$B97=3</formula>
    </cfRule>
  </conditionalFormatting>
  <conditionalFormatting sqref="Q97:R100">
    <cfRule type="expression" dxfId="103" priority="278">
      <formula>$B97&lt;2</formula>
    </cfRule>
    <cfRule type="expression" dxfId="102" priority="277">
      <formula>$B97=2</formula>
    </cfRule>
    <cfRule type="expression" dxfId="101" priority="276">
      <formula>$B97=3</formula>
    </cfRule>
  </conditionalFormatting>
  <conditionalFormatting sqref="Q101:R101">
    <cfRule type="expression" dxfId="100" priority="125">
      <formula>$B101=3</formula>
    </cfRule>
    <cfRule type="expression" dxfId="99" priority="126">
      <formula>$B101=2</formula>
    </cfRule>
    <cfRule type="expression" dxfId="98" priority="127">
      <formula>$B101&lt;2</formula>
    </cfRule>
  </conditionalFormatting>
  <conditionalFormatting sqref="Q102:R102">
    <cfRule type="expression" dxfId="97" priority="45">
      <formula>$B102=3</formula>
    </cfRule>
    <cfRule type="expression" dxfId="96" priority="47">
      <formula>$B102&lt;2</formula>
    </cfRule>
    <cfRule type="expression" dxfId="95" priority="46">
      <formula>$B102=2</formula>
    </cfRule>
  </conditionalFormatting>
  <conditionalFormatting sqref="Q103:R103">
    <cfRule type="expression" dxfId="94" priority="120">
      <formula>$B103&lt;2</formula>
    </cfRule>
    <cfRule type="expression" dxfId="93" priority="119">
      <formula>$B103=2</formula>
    </cfRule>
    <cfRule type="expression" dxfId="92" priority="118">
      <formula>$B103=3</formula>
    </cfRule>
  </conditionalFormatting>
  <conditionalFormatting sqref="Q71:S73">
    <cfRule type="expression" dxfId="91" priority="637">
      <formula>$B71=0</formula>
    </cfRule>
  </conditionalFormatting>
  <conditionalFormatting sqref="Q99:S100">
    <cfRule type="expression" dxfId="90" priority="271">
      <formula>$B99&lt;2</formula>
    </cfRule>
    <cfRule type="expression" dxfId="89" priority="269">
      <formula>$B99=3</formula>
    </cfRule>
    <cfRule type="expression" dxfId="88" priority="270">
      <formula>$B99=2</formula>
    </cfRule>
  </conditionalFormatting>
  <conditionalFormatting sqref="Q101:S101">
    <cfRule type="expression" dxfId="87" priority="104">
      <formula>$B101=3</formula>
    </cfRule>
    <cfRule type="expression" dxfId="86" priority="105">
      <formula>$B101=2</formula>
    </cfRule>
    <cfRule type="expression" dxfId="85" priority="106">
      <formula>$B101&lt;2</formula>
    </cfRule>
  </conditionalFormatting>
  <conditionalFormatting sqref="Q102:S102">
    <cfRule type="expression" dxfId="84" priority="44">
      <formula>$B102&lt;2</formula>
    </cfRule>
    <cfRule type="expression" dxfId="83" priority="43">
      <formula>$B102=2</formula>
    </cfRule>
    <cfRule type="expression" dxfId="82" priority="42">
      <formula>$B102=3</formula>
    </cfRule>
  </conditionalFormatting>
  <conditionalFormatting sqref="Q103:S103">
    <cfRule type="expression" dxfId="81" priority="113">
      <formula>$B103&lt;2</formula>
    </cfRule>
    <cfRule type="expression" dxfId="80" priority="112">
      <formula>$B103=2</formula>
    </cfRule>
    <cfRule type="expression" dxfId="79" priority="111">
      <formula>$B103=3</formula>
    </cfRule>
  </conditionalFormatting>
  <conditionalFormatting sqref="Q97:T103">
    <cfRule type="expression" dxfId="78" priority="93">
      <formula>$B97=0</formula>
    </cfRule>
  </conditionalFormatting>
  <conditionalFormatting sqref="S97:S100">
    <cfRule type="expression" dxfId="77" priority="262">
      <formula>$B97=3</formula>
    </cfRule>
    <cfRule type="expression" dxfId="76" priority="263">
      <formula>$B97=2</formula>
    </cfRule>
    <cfRule type="expression" dxfId="75" priority="264">
      <formula>$B97&lt;2</formula>
    </cfRule>
  </conditionalFormatting>
  <conditionalFormatting sqref="S102">
    <cfRule type="expression" dxfId="74" priority="41">
      <formula>$B102&lt;2</formula>
    </cfRule>
    <cfRule type="expression" dxfId="73" priority="40">
      <formula>$B102=2</formula>
    </cfRule>
    <cfRule type="expression" dxfId="72" priority="39">
      <formula>$B102=3</formula>
    </cfRule>
  </conditionalFormatting>
  <conditionalFormatting sqref="S152">
    <cfRule type="expression" dxfId="71" priority="731">
      <formula>$B152&lt;2</formula>
    </cfRule>
    <cfRule type="expression" dxfId="70" priority="730">
      <formula>$B152=2</formula>
    </cfRule>
    <cfRule type="expression" dxfId="69" priority="729">
      <formula>$B152=3</formula>
    </cfRule>
    <cfRule type="expression" dxfId="68" priority="732">
      <formula>$B152=0</formula>
    </cfRule>
  </conditionalFormatting>
  <conditionalFormatting sqref="S156:S157">
    <cfRule type="expression" dxfId="67" priority="728">
      <formula>$B156=0</formula>
    </cfRule>
    <cfRule type="expression" dxfId="66" priority="725">
      <formula>$B156=3</formula>
    </cfRule>
    <cfRule type="expression" dxfId="65" priority="726">
      <formula>$B156=2</formula>
    </cfRule>
    <cfRule type="expression" dxfId="64" priority="727">
      <formula>$B156&lt;2</formula>
    </cfRule>
  </conditionalFormatting>
  <conditionalFormatting sqref="S97:T98">
    <cfRule type="expression" dxfId="63" priority="255">
      <formula>$B97=3</formula>
    </cfRule>
    <cfRule type="expression" dxfId="62" priority="256">
      <formula>$B97=2</formula>
    </cfRule>
    <cfRule type="expression" dxfId="61" priority="257">
      <formula>$B97&lt;2</formula>
    </cfRule>
  </conditionalFormatting>
  <conditionalFormatting sqref="S101:T101">
    <cfRule type="expression" dxfId="60" priority="96">
      <formula>$B101&lt;2</formula>
    </cfRule>
    <cfRule type="expression" dxfId="59" priority="95">
      <formula>$B101=2</formula>
    </cfRule>
    <cfRule type="expression" dxfId="58" priority="94">
      <formula>$B101=3</formula>
    </cfRule>
  </conditionalFormatting>
  <conditionalFormatting sqref="S103:T103">
    <cfRule type="expression" dxfId="57" priority="92">
      <formula>$B103&lt;2</formula>
    </cfRule>
    <cfRule type="expression" dxfId="56" priority="91">
      <formula>$B103=2</formula>
    </cfRule>
    <cfRule type="expression" dxfId="55" priority="90">
      <formula>$B103=3</formula>
    </cfRule>
  </conditionalFormatting>
  <conditionalFormatting sqref="S90:V93">
    <cfRule type="expression" dxfId="54" priority="626">
      <formula>$B90=0</formula>
    </cfRule>
  </conditionalFormatting>
  <conditionalFormatting sqref="S150:V151">
    <cfRule type="expression" dxfId="53" priority="689">
      <formula>$B150=3</formula>
    </cfRule>
    <cfRule type="expression" dxfId="52" priority="690">
      <formula>$B150=2</formula>
    </cfRule>
    <cfRule type="expression" dxfId="51" priority="691">
      <formula>$B150&lt;2</formula>
    </cfRule>
    <cfRule type="expression" dxfId="50" priority="692">
      <formula>$B150=0</formula>
    </cfRule>
  </conditionalFormatting>
  <conditionalFormatting sqref="T5">
    <cfRule type="expression" dxfId="49" priority="485">
      <formula>$B5&lt;2</formula>
    </cfRule>
    <cfRule type="expression" dxfId="48" priority="482">
      <formula>$B5=0</formula>
    </cfRule>
    <cfRule type="expression" dxfId="47" priority="483">
      <formula>$B5=3</formula>
    </cfRule>
    <cfRule type="expression" dxfId="46" priority="484">
      <formula>$B5=2</formula>
    </cfRule>
  </conditionalFormatting>
  <conditionalFormatting sqref="T6">
    <cfRule type="expression" dxfId="45" priority="1045">
      <formula>$B5=3</formula>
    </cfRule>
    <cfRule type="expression" dxfId="44" priority="1043">
      <formula>$B5=0</formula>
    </cfRule>
    <cfRule type="expression" dxfId="43" priority="1040">
      <formula>$B5=2</formula>
    </cfRule>
    <cfRule type="expression" dxfId="42" priority="1041">
      <formula>$B5&lt;2</formula>
    </cfRule>
  </conditionalFormatting>
  <conditionalFormatting sqref="T97:T100">
    <cfRule type="expression" dxfId="41" priority="248">
      <formula>$B97=3</formula>
    </cfRule>
    <cfRule type="expression" dxfId="40" priority="249">
      <formula>$B97=2</formula>
    </cfRule>
    <cfRule type="expression" dxfId="39" priority="250">
      <formula>$B97&lt;2</formula>
    </cfRule>
  </conditionalFormatting>
  <conditionalFormatting sqref="T99:T102">
    <cfRule type="expression" dxfId="38" priority="97">
      <formula>$B99=3</formula>
    </cfRule>
    <cfRule type="expression" dxfId="37" priority="98">
      <formula>$B99=2</formula>
    </cfRule>
    <cfRule type="expression" dxfId="36" priority="99">
      <formula>$B99&lt;2</formula>
    </cfRule>
  </conditionalFormatting>
  <conditionalFormatting sqref="T100">
    <cfRule type="expression" dxfId="35" priority="26">
      <formula>$B100=3</formula>
    </cfRule>
    <cfRule type="expression" dxfId="34" priority="27">
      <formula>$B100=2</formula>
    </cfRule>
    <cfRule type="expression" dxfId="33" priority="28">
      <formula>$B100&lt;2</formula>
    </cfRule>
  </conditionalFormatting>
  <conditionalFormatting sqref="T102:T103">
    <cfRule type="expression" dxfId="32" priority="38">
      <formula>$B102&lt;2</formula>
    </cfRule>
    <cfRule type="expression" dxfId="31" priority="36">
      <formula>$B102=3</formula>
    </cfRule>
    <cfRule type="expression" dxfId="30" priority="37">
      <formula>$B102=2</formula>
    </cfRule>
  </conditionalFormatting>
  <conditionalFormatting sqref="U106">
    <cfRule type="expression" dxfId="29" priority="812">
      <formula>$B105&lt;2</formula>
    </cfRule>
    <cfRule type="expression" dxfId="28" priority="813">
      <formula>$B105=0</formula>
    </cfRule>
    <cfRule type="expression" dxfId="27" priority="810">
      <formula>$B105=3</formula>
    </cfRule>
    <cfRule type="expression" dxfId="26" priority="811">
      <formula>$B105=2</formula>
    </cfRule>
  </conditionalFormatting>
  <conditionalFormatting sqref="U135:AG140">
    <cfRule type="expression" dxfId="25" priority="433">
      <formula>$B135=0</formula>
    </cfRule>
  </conditionalFormatting>
  <conditionalFormatting sqref="W97:W103">
    <cfRule type="expression" dxfId="24" priority="240">
      <formula>$B97=0</formula>
    </cfRule>
    <cfRule type="expression" dxfId="23" priority="239">
      <formula>$B97&lt;2</formula>
    </cfRule>
    <cfRule type="expression" dxfId="22" priority="238">
      <formula>$B97=2</formula>
    </cfRule>
    <cfRule type="expression" dxfId="21" priority="237">
      <formula>$B97=3</formula>
    </cfRule>
  </conditionalFormatting>
  <conditionalFormatting sqref="W76:AG82">
    <cfRule type="expression" dxfId="20" priority="531">
      <formula>$B76=2</formula>
    </cfRule>
    <cfRule type="expression" dxfId="19" priority="532">
      <formula>$B76&lt;2</formula>
    </cfRule>
    <cfRule type="expression" dxfId="18" priority="533">
      <formula>$B76=0</formula>
    </cfRule>
    <cfRule type="expression" dxfId="17" priority="530">
      <formula>$B76=3</formula>
    </cfRule>
  </conditionalFormatting>
  <conditionalFormatting sqref="W95:AG96 A145:G146 I145:R146 A147:R147">
    <cfRule type="expression" dxfId="16" priority="735">
      <formula>$B95&lt;2</formula>
    </cfRule>
    <cfRule type="expression" dxfId="15" priority="734">
      <formula>$B95=2</formula>
    </cfRule>
  </conditionalFormatting>
  <conditionalFormatting sqref="W106:AG108">
    <cfRule type="expression" dxfId="14" priority="509">
      <formula>$B106=0</formula>
    </cfRule>
  </conditionalFormatting>
  <conditionalFormatting sqref="W132:AG132">
    <cfRule type="expression" dxfId="13" priority="503">
      <formula>$B132=2</formula>
    </cfRule>
    <cfRule type="expression" dxfId="12" priority="502">
      <formula>$B132=3</formula>
    </cfRule>
    <cfRule type="expression" dxfId="11" priority="505">
      <formula>$B132=0</formula>
    </cfRule>
    <cfRule type="expression" dxfId="10" priority="504">
      <formula>$B132&lt;2</formula>
    </cfRule>
  </conditionalFormatting>
  <conditionalFormatting sqref="W135:AG140">
    <cfRule type="expression" dxfId="9" priority="431">
      <formula>$B135=2</formula>
    </cfRule>
    <cfRule type="expression" dxfId="8" priority="432">
      <formula>$B135&lt;2</formula>
    </cfRule>
    <cfRule type="expression" dxfId="7" priority="430">
      <formula>$B135=3</formula>
    </cfRule>
  </conditionalFormatting>
  <conditionalFormatting sqref="Z97:AG103">
    <cfRule type="expression" dxfId="6" priority="79">
      <formula>$B97=3</formula>
    </cfRule>
    <cfRule type="expression" dxfId="5" priority="80">
      <formula>$B97=2</formula>
    </cfRule>
    <cfRule type="expression" dxfId="4" priority="82">
      <formula>$B97=0</formula>
    </cfRule>
    <cfRule type="expression" dxfId="3" priority="81">
      <formula>$B97&lt;2</formula>
    </cfRule>
  </conditionalFormatting>
  <conditionalFormatting sqref="Z133:AG133">
    <cfRule type="expression" dxfId="2" priority="480">
      <formula>$B133&lt;2</formula>
    </cfRule>
    <cfRule type="expression" dxfId="1" priority="479">
      <formula>$B133=2</formula>
    </cfRule>
    <cfRule type="expression" dxfId="0" priority="478">
      <formula>$B133=3</formula>
    </cfRule>
  </conditionalFormatting>
  <dataValidations count="15">
    <dataValidation type="whole" allowBlank="1" showInputMessage="1" showErrorMessage="1" sqref="Q2:Q149 Q151:Q181 Q182:R189" xr:uid="{00000000-0002-0000-0000-000000000000}">
      <formula1>1950</formula1>
      <formula2>2025</formula2>
    </dataValidation>
    <dataValidation type="decimal" operator="greaterThan" allowBlank="1" showInputMessage="1" showErrorMessage="1" sqref="J2:J127 J130:J131 J134:J141 J145:J181 K2:K9 K11:K48 K52:K54 K57:K59 K61:K63 K67:K79 K84 K94:K104 K106:K147 K149:K181 N1:N67 N71:N83 N85:N103 N105:N1048576" xr:uid="{00000000-0002-0000-0000-000001000000}">
      <formula1>0</formula1>
    </dataValidation>
    <dataValidation type="list" allowBlank="1" showInputMessage="1" showErrorMessage="1" sqref="M356:M366" xr:uid="{00000000-0002-0000-0000-000002000000}">
      <formula1>"Land Area, Power MWe, Excavation Volume,  Reactor Building Slab Roof Volume,	Reactor Building  Basement Volume, Reactor Building  Exterior Walls Volume,		Turbine Building Slab Roof Volume,	Turbine Building  Basement Volume,	Turbine Building  Exterior Wall"</formula1>
    </dataValidation>
    <dataValidation type="list" allowBlank="1" showInputMessage="1" showErrorMessage="1" sqref="L1 L182:L1048576" xr:uid="{00000000-0002-0000-0000-000003000000}">
      <formula1>"$/acres, $/MWe, $/m^3, $/MWt"</formula1>
    </dataValidation>
    <dataValidation type="whole" allowBlank="1" showInputMessage="1" showErrorMessage="1" sqref="P182:P335" xr:uid="{00000000-0002-0000-0000-000004000000}">
      <formula1>0</formula1>
      <formula2>2</formula2>
    </dataValidation>
    <dataValidation type="decimal" allowBlank="1" showInputMessage="1" showErrorMessage="1" sqref="P2:P80 P82:P134 P141:P181" xr:uid="{00000000-0002-0000-0000-000005000000}">
      <formula1>0</formula1>
      <formula2>2</formula2>
    </dataValidation>
    <dataValidation type="list" allowBlank="1" showInputMessage="1" showErrorMessage="1" sqref="O2:O80 O82:O131 O134 O141:O181" xr:uid="{00000000-0002-0000-0000-000006000000}">
      <formula1>"acres, MWe, m^3, MWt, Kg, Drums, kW, $, m^2, kg/s"</formula1>
    </dataValidation>
    <dataValidation type="list" allowBlank="1" showInputMessage="1" showErrorMessage="1" sqref="L2:L80 L82:L110 L112:L134 L141:L181" xr:uid="{00000000-0002-0000-0000-000007000000}">
      <formula1>"$/m^2,$/MWeHour,$/FTE, $/acres, $/MWe, $/m^3, $/MWt, $/Kg, $/Drum, $/(kg.sec), $/SWU, unitless, $/kWe"</formula1>
    </dataValidation>
    <dataValidation type="list" allowBlank="1" showInputMessage="1" showErrorMessage="1" sqref="O132:O133" xr:uid="{00000000-0002-0000-0000-000008000000}">
      <formula1>"acres, MWe, m^3, MWt, Kg, Drums, kW, $, m^2, kg/s, kWe"</formula1>
    </dataValidation>
    <dataValidation type="list" allowBlank="1" showInputMessage="1" showErrorMessage="1" sqref="L81 L135:L140" xr:uid="{00000000-0002-0000-0000-000009000000}">
      <formula1>"$/MWeHour,$/FTE, $/acres, $/MWe, $/m^3, $/MWt, $/Kg, $/Drum, $/(kg.sec), $/SWU, unitless"</formula1>
    </dataValidation>
    <dataValidation type="list" allowBlank="1" showInputMessage="1" showErrorMessage="1" sqref="O81 O135:O140" xr:uid="{00000000-0002-0000-0000-00000A000000}">
      <formula1>"acres, MWe, m^3, MWt, Kg, Drums, kW, $"</formula1>
    </dataValidation>
    <dataValidation type="decimal" allowBlank="1" showInputMessage="1" showErrorMessage="1" sqref="P81 P135:P140" xr:uid="{00000000-0002-0000-0000-00000B000000}">
      <formula1>0</formula1>
      <formula2>1</formula2>
    </dataValidation>
    <dataValidation type="list" allowBlank="1" showInputMessage="1" showErrorMessage="1" sqref="E2:E181" xr:uid="{00000000-0002-0000-0000-00000C000000}">
      <formula1>"standard, nonstandard"</formula1>
    </dataValidation>
    <dataValidation type="list" allowBlank="1" showInputMessage="1" showErrorMessage="1" sqref="R2:R181" xr:uid="{00000000-0002-0000-0000-00000D000000}">
      <formula1>"NA, General, Labor, Material, Equipment,Lab and Mat and Equip, 'Lab and Equip"</formula1>
    </dataValidation>
    <dataValidation type="list" allowBlank="1" showInputMessage="1" showErrorMessage="1" sqref="L111" xr:uid="{00000000-0002-0000-0000-00000E000000}">
      <formula1>"$/heatpipe,$/m^2,$/MWeHour,$/FTE, $/acres, $/MWe, $/m^3, $/MWt, $/Kg, $/Drum, $/(kg.sec), $/SWU, unitless, $/kWe"</formula1>
    </dataValidation>
  </dataValidations>
  <hyperlinks>
    <hyperlink ref="U3" r:id="rId1" xr:uid="{00000000-0004-0000-0000-000000000000}"/>
    <hyperlink ref="U18" r:id="rId2" xr:uid="{00000000-0004-0000-0000-000001000000}"/>
    <hyperlink ref="U19" r:id="rId3" xr:uid="{00000000-0004-0000-0000-000002000000}"/>
    <hyperlink ref="U33" r:id="rId4" xr:uid="{00000000-0004-0000-0000-000003000000}"/>
    <hyperlink ref="U49" r:id="rId5" display="https://inldigitallibrary.inl.gov/sites/sti/sti/Sort_129862.pdf_x000a__x000a_" xr:uid="{00000000-0004-0000-0000-000004000000}"/>
    <hyperlink ref="U106" r:id="rId6" display="https://www.sciencedirect.com/science/article/pii/S1290072903000218" xr:uid="{00000000-0004-0000-0000-000005000000}"/>
    <hyperlink ref="U117" r:id="rId7" xr:uid="{00000000-0004-0000-0000-000006000000}"/>
    <hyperlink ref="U127" r:id="rId8" xr:uid="{00000000-0004-0000-0000-000007000000}"/>
    <hyperlink ref="U128" r:id="rId9" xr:uid="{00000000-0004-0000-0000-000008000000}"/>
    <hyperlink ref="U132" r:id="rId10" xr:uid="{00000000-0004-0000-0000-000009000000}"/>
    <hyperlink ref="U133" r:id="rId11" xr:uid="{00000000-0004-0000-0000-00000A000000}"/>
    <hyperlink ref="U166" r:id="rId12" xr:uid="{00000000-0004-0000-0000-00000B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9"/>
  <sheetViews>
    <sheetView zoomScale="183" workbookViewId="0">
      <selection activeCell="A29" sqref="A29"/>
    </sheetView>
  </sheetViews>
  <sheetFormatPr baseColWidth="10" defaultColWidth="11.5" defaultRowHeight="15" x14ac:dyDescent="0.2"/>
  <cols>
    <col min="1" max="1" width="11.6640625" style="30" customWidth="1"/>
    <col min="2" max="2" width="35.6640625" style="15" customWidth="1"/>
    <col min="3" max="3" width="20.6640625" style="16" customWidth="1"/>
    <col min="5" max="5" width="12.6640625" bestFit="1" customWidth="1"/>
  </cols>
  <sheetData>
    <row r="1" spans="1:5" ht="15" customHeight="1" x14ac:dyDescent="0.2">
      <c r="A1" s="154" t="s">
        <v>415</v>
      </c>
      <c r="B1" s="153" t="s">
        <v>3</v>
      </c>
      <c r="C1" s="151" t="s">
        <v>416</v>
      </c>
    </row>
    <row r="2" spans="1:5" x14ac:dyDescent="0.2">
      <c r="A2" s="152"/>
      <c r="B2" s="152"/>
      <c r="C2" s="152"/>
    </row>
    <row r="3" spans="1:5" ht="16" customHeight="1" x14ac:dyDescent="0.2">
      <c r="A3" s="28">
        <v>10</v>
      </c>
      <c r="B3" s="12" t="s">
        <v>33</v>
      </c>
      <c r="C3" s="13">
        <f>C4</f>
        <v>5210451</v>
      </c>
    </row>
    <row r="4" spans="1:5" ht="16" customHeight="1" x14ac:dyDescent="0.2">
      <c r="A4" s="29">
        <v>15</v>
      </c>
      <c r="B4" s="10" t="s">
        <v>64</v>
      </c>
      <c r="C4" s="11">
        <v>5210451</v>
      </c>
      <c r="E4" s="11"/>
    </row>
    <row r="5" spans="1:5" ht="16" customHeight="1" x14ac:dyDescent="0.2">
      <c r="A5" s="28">
        <v>20</v>
      </c>
      <c r="B5" s="12" t="s">
        <v>69</v>
      </c>
      <c r="C5" s="13">
        <f>C6+C13+C45+C48+C52+C54</f>
        <v>30295715.421999998</v>
      </c>
    </row>
    <row r="6" spans="1:5" ht="16" customHeight="1" x14ac:dyDescent="0.2">
      <c r="A6" s="29">
        <v>21</v>
      </c>
      <c r="B6" s="10" t="s">
        <v>70</v>
      </c>
      <c r="C6" s="11">
        <f>C7+C8+C9+C10</f>
        <v>2799006.731999998</v>
      </c>
    </row>
    <row r="7" spans="1:5" ht="16" customHeight="1" x14ac:dyDescent="0.2">
      <c r="A7" s="29">
        <v>211</v>
      </c>
      <c r="B7" s="10" t="s">
        <v>417</v>
      </c>
      <c r="C7" s="11"/>
    </row>
    <row r="8" spans="1:5" ht="16" customHeight="1" x14ac:dyDescent="0.2">
      <c r="A8" s="29">
        <v>212</v>
      </c>
      <c r="B8" s="10" t="s">
        <v>83</v>
      </c>
      <c r="C8" s="11">
        <v>2573469.8719999981</v>
      </c>
    </row>
    <row r="9" spans="1:5" ht="16" customHeight="1" x14ac:dyDescent="0.2">
      <c r="A9" s="29">
        <v>213</v>
      </c>
      <c r="B9" s="10" t="s">
        <v>101</v>
      </c>
      <c r="C9" s="11"/>
    </row>
    <row r="10" spans="1:5" ht="16" customHeight="1" x14ac:dyDescent="0.2">
      <c r="A10" s="29">
        <v>214</v>
      </c>
      <c r="B10" s="10" t="s">
        <v>128</v>
      </c>
      <c r="C10" s="11">
        <f>SUM(C11:C11)</f>
        <v>225536.86</v>
      </c>
    </row>
    <row r="11" spans="1:5" ht="16" customHeight="1" x14ac:dyDescent="0.2">
      <c r="A11" s="29">
        <v>214.7</v>
      </c>
      <c r="B11" s="10" t="s">
        <v>418</v>
      </c>
      <c r="C11" s="11">
        <v>225536.86</v>
      </c>
      <c r="E11" s="32"/>
    </row>
    <row r="12" spans="1:5" ht="16" customHeight="1" x14ac:dyDescent="0.2">
      <c r="A12" s="29">
        <v>217</v>
      </c>
      <c r="B12" s="10" t="s">
        <v>419</v>
      </c>
      <c r="C12" s="11"/>
    </row>
    <row r="13" spans="1:5" ht="16" customHeight="1" x14ac:dyDescent="0.2">
      <c r="A13" s="29">
        <v>22</v>
      </c>
      <c r="B13" s="10" t="s">
        <v>182</v>
      </c>
      <c r="C13" s="11">
        <f>C14+C32+C41+C42+C43+C44</f>
        <v>17586712.57</v>
      </c>
    </row>
    <row r="14" spans="1:5" ht="16" customHeight="1" x14ac:dyDescent="0.2">
      <c r="A14" s="29">
        <v>221</v>
      </c>
      <c r="B14" s="10" t="s">
        <v>183</v>
      </c>
      <c r="C14" s="11">
        <f>C15+C19+C25</f>
        <v>8937296.5999999996</v>
      </c>
    </row>
    <row r="15" spans="1:5" ht="16" customHeight="1" x14ac:dyDescent="0.2">
      <c r="A15" s="29">
        <v>221.1</v>
      </c>
      <c r="B15" s="10" t="s">
        <v>420</v>
      </c>
      <c r="C15" s="11">
        <f>C16+C17+C18</f>
        <v>2004852</v>
      </c>
    </row>
    <row r="16" spans="1:5" ht="16" customHeight="1" x14ac:dyDescent="0.2">
      <c r="A16" s="29">
        <v>221.11</v>
      </c>
      <c r="B16" s="10" t="s">
        <v>421</v>
      </c>
      <c r="C16" s="11">
        <v>762382.4</v>
      </c>
    </row>
    <row r="17" spans="1:4" ht="16" customHeight="1" x14ac:dyDescent="0.2">
      <c r="A17" s="29">
        <v>221.12</v>
      </c>
      <c r="B17" s="14" t="s">
        <v>422</v>
      </c>
      <c r="C17" s="11">
        <v>1201688.6000000001</v>
      </c>
    </row>
    <row r="18" spans="1:4" ht="16" customHeight="1" x14ac:dyDescent="0.2">
      <c r="A18" s="29">
        <v>221.13</v>
      </c>
      <c r="B18" s="14" t="s">
        <v>423</v>
      </c>
      <c r="C18" s="11">
        <v>40781</v>
      </c>
    </row>
    <row r="19" spans="1:4" ht="16" customHeight="1" x14ac:dyDescent="0.2">
      <c r="A19" s="29">
        <v>221.2</v>
      </c>
      <c r="B19" s="14" t="s">
        <v>424</v>
      </c>
      <c r="C19" s="11">
        <f>C20</f>
        <v>2114223</v>
      </c>
    </row>
    <row r="20" spans="1:4" ht="17" customHeight="1" thickBot="1" x14ac:dyDescent="0.25">
      <c r="A20" s="29">
        <v>221.21</v>
      </c>
      <c r="B20" s="14" t="s">
        <v>425</v>
      </c>
      <c r="C20" s="11">
        <f>SUM(C21:C23)</f>
        <v>2114223</v>
      </c>
    </row>
    <row r="21" spans="1:4" ht="16" customHeight="1" thickBot="1" x14ac:dyDescent="0.25">
      <c r="A21" s="8">
        <v>221.21100000000001</v>
      </c>
      <c r="B21" s="9" t="s">
        <v>206</v>
      </c>
      <c r="C21" s="11">
        <v>1391560</v>
      </c>
      <c r="D21" s="6"/>
    </row>
    <row r="22" spans="1:4" ht="16" customHeight="1" thickBot="1" x14ac:dyDescent="0.25">
      <c r="A22" s="8">
        <v>221.21199999999999</v>
      </c>
      <c r="B22" s="9" t="s">
        <v>214</v>
      </c>
      <c r="C22" s="11">
        <v>322663</v>
      </c>
    </row>
    <row r="23" spans="1:4" ht="16" customHeight="1" thickBot="1" x14ac:dyDescent="0.25">
      <c r="A23" s="8">
        <v>221.21299999999999</v>
      </c>
      <c r="B23" s="9" t="s">
        <v>215</v>
      </c>
      <c r="C23" s="11">
        <v>400000</v>
      </c>
    </row>
    <row r="24" spans="1:4" ht="16" customHeight="1" thickBot="1" x14ac:dyDescent="0.25">
      <c r="A24" s="8">
        <v>221.214</v>
      </c>
      <c r="B24" s="9" t="s">
        <v>222</v>
      </c>
    </row>
    <row r="25" spans="1:4" ht="16" customHeight="1" x14ac:dyDescent="0.2">
      <c r="A25" s="29">
        <v>221.3</v>
      </c>
      <c r="B25" s="14" t="s">
        <v>426</v>
      </c>
      <c r="C25" s="11">
        <f>C26+C30+C31</f>
        <v>4818221.5999999996</v>
      </c>
    </row>
    <row r="26" spans="1:4" ht="16" customHeight="1" x14ac:dyDescent="0.2">
      <c r="A26" s="29">
        <v>221.31</v>
      </c>
      <c r="B26" s="14" t="s">
        <v>236</v>
      </c>
      <c r="C26" s="11">
        <v>4170231</v>
      </c>
    </row>
    <row r="27" spans="1:4" ht="16" customHeight="1" x14ac:dyDescent="0.2">
      <c r="A27" s="31">
        <v>221.31100000000001</v>
      </c>
      <c r="B27" s="14" t="s">
        <v>427</v>
      </c>
      <c r="C27" s="11">
        <v>3200000</v>
      </c>
    </row>
    <row r="28" spans="1:4" ht="16" customHeight="1" x14ac:dyDescent="0.2">
      <c r="A28" s="31">
        <v>221.31200000000001</v>
      </c>
      <c r="B28" s="14" t="s">
        <v>428</v>
      </c>
      <c r="C28" s="11">
        <v>850000</v>
      </c>
    </row>
    <row r="29" spans="1:4" ht="16" customHeight="1" x14ac:dyDescent="0.2">
      <c r="A29" s="31">
        <v>221.31299999999999</v>
      </c>
      <c r="B29" s="14" t="s">
        <v>429</v>
      </c>
      <c r="C29" s="11">
        <v>120231</v>
      </c>
    </row>
    <row r="30" spans="1:4" ht="16" customHeight="1" x14ac:dyDescent="0.2">
      <c r="A30" s="29">
        <v>221.32</v>
      </c>
      <c r="B30" s="14" t="s">
        <v>243</v>
      </c>
      <c r="C30" s="11">
        <v>647990.6</v>
      </c>
    </row>
    <row r="31" spans="1:4" ht="16" customHeight="1" x14ac:dyDescent="0.2">
      <c r="A31" s="29">
        <v>221.33</v>
      </c>
      <c r="B31" s="14" t="s">
        <v>251</v>
      </c>
      <c r="C31" s="11">
        <v>0</v>
      </c>
    </row>
    <row r="32" spans="1:4" ht="16" customHeight="1" x14ac:dyDescent="0.2">
      <c r="A32" s="29" t="s">
        <v>430</v>
      </c>
      <c r="B32" s="10" t="s">
        <v>261</v>
      </c>
      <c r="C32" s="11">
        <f>C33+C34+C38+C39+C40</f>
        <v>5908950.5999999996</v>
      </c>
    </row>
    <row r="33" spans="1:3" ht="16" customHeight="1" x14ac:dyDescent="0.2">
      <c r="A33" s="29">
        <v>222.1</v>
      </c>
      <c r="B33" s="10" t="s">
        <v>431</v>
      </c>
      <c r="C33" s="11">
        <v>0</v>
      </c>
    </row>
    <row r="34" spans="1:3" ht="16" customHeight="1" x14ac:dyDescent="0.2">
      <c r="A34" s="29">
        <v>222.2</v>
      </c>
      <c r="B34" s="10" t="s">
        <v>432</v>
      </c>
      <c r="C34" s="11">
        <v>4890230.5999999996</v>
      </c>
    </row>
    <row r="35" spans="1:3" ht="16" customHeight="1" x14ac:dyDescent="0.2">
      <c r="A35" s="29">
        <v>222.21</v>
      </c>
      <c r="B35" s="10" t="s">
        <v>433</v>
      </c>
      <c r="C35" s="11">
        <v>1520786</v>
      </c>
    </row>
    <row r="36" spans="1:3" ht="32" customHeight="1" x14ac:dyDescent="0.2">
      <c r="A36" s="29">
        <v>222.22</v>
      </c>
      <c r="B36" s="10" t="s">
        <v>434</v>
      </c>
      <c r="C36" s="11">
        <v>3341486</v>
      </c>
    </row>
    <row r="37" spans="1:3" ht="32" customHeight="1" x14ac:dyDescent="0.2">
      <c r="A37" s="29">
        <v>222.23</v>
      </c>
      <c r="B37" s="10" t="s">
        <v>435</v>
      </c>
      <c r="C37" s="11">
        <v>27958.6</v>
      </c>
    </row>
    <row r="38" spans="1:3" ht="16" customHeight="1" x14ac:dyDescent="0.2">
      <c r="A38" s="29">
        <v>222.3</v>
      </c>
      <c r="B38" s="10" t="s">
        <v>286</v>
      </c>
      <c r="C38" s="11">
        <v>0</v>
      </c>
    </row>
    <row r="39" spans="1:3" ht="16" customHeight="1" x14ac:dyDescent="0.2">
      <c r="A39" s="29">
        <v>222.4</v>
      </c>
      <c r="B39" s="10" t="s">
        <v>436</v>
      </c>
      <c r="C39" s="11">
        <v>0</v>
      </c>
    </row>
    <row r="40" spans="1:3" ht="16" customHeight="1" x14ac:dyDescent="0.2">
      <c r="A40" s="29">
        <v>222.5</v>
      </c>
      <c r="B40" s="10" t="s">
        <v>437</v>
      </c>
      <c r="C40" s="11">
        <v>1018720</v>
      </c>
    </row>
    <row r="41" spans="1:3" ht="16" customHeight="1" x14ac:dyDescent="0.2">
      <c r="A41" s="29" t="s">
        <v>438</v>
      </c>
      <c r="B41" s="10" t="s">
        <v>439</v>
      </c>
      <c r="C41" s="11"/>
    </row>
    <row r="42" spans="1:3" ht="16" customHeight="1" x14ac:dyDescent="0.2">
      <c r="A42" s="29" t="s">
        <v>440</v>
      </c>
      <c r="B42" s="10" t="s">
        <v>315</v>
      </c>
      <c r="C42" s="11">
        <v>456297</v>
      </c>
    </row>
    <row r="43" spans="1:3" ht="16" customHeight="1" x14ac:dyDescent="0.2">
      <c r="A43" s="29" t="s">
        <v>441</v>
      </c>
      <c r="B43" s="10" t="s">
        <v>323</v>
      </c>
      <c r="C43" s="11">
        <v>2253208.37</v>
      </c>
    </row>
    <row r="44" spans="1:3" ht="16" customHeight="1" x14ac:dyDescent="0.2">
      <c r="A44" s="29" t="s">
        <v>442</v>
      </c>
      <c r="B44" s="10" t="s">
        <v>328</v>
      </c>
      <c r="C44" s="11">
        <v>30960</v>
      </c>
    </row>
    <row r="45" spans="1:3" ht="16" customHeight="1" x14ac:dyDescent="0.2">
      <c r="A45" s="29">
        <v>23</v>
      </c>
      <c r="B45" s="10" t="s">
        <v>443</v>
      </c>
      <c r="C45" s="11">
        <f>C46</f>
        <v>0</v>
      </c>
    </row>
    <row r="46" spans="1:3" ht="16" customHeight="1" x14ac:dyDescent="0.2">
      <c r="A46" s="29">
        <v>232</v>
      </c>
      <c r="B46" s="10" t="s">
        <v>330</v>
      </c>
      <c r="C46" s="11">
        <f>C47</f>
        <v>0</v>
      </c>
    </row>
    <row r="47" spans="1:3" ht="16" customHeight="1" x14ac:dyDescent="0.2">
      <c r="A47" s="29">
        <v>232.1</v>
      </c>
      <c r="B47" s="10" t="s">
        <v>331</v>
      </c>
      <c r="C47" s="11">
        <v>0</v>
      </c>
    </row>
    <row r="48" spans="1:3" ht="16" customHeight="1" x14ac:dyDescent="0.2">
      <c r="A48" s="29">
        <v>24</v>
      </c>
      <c r="B48" s="10" t="s">
        <v>338</v>
      </c>
      <c r="C48" s="11">
        <f>C49+C50+C51</f>
        <v>73415.62000000001</v>
      </c>
    </row>
    <row r="49" spans="1:3" ht="16" customHeight="1" x14ac:dyDescent="0.2">
      <c r="A49" s="29" t="s">
        <v>444</v>
      </c>
      <c r="B49" s="10" t="s">
        <v>445</v>
      </c>
      <c r="C49" s="11">
        <v>1627.02</v>
      </c>
    </row>
    <row r="50" spans="1:3" ht="16" customHeight="1" x14ac:dyDescent="0.2">
      <c r="A50" s="29" t="s">
        <v>446</v>
      </c>
      <c r="B50" s="10" t="s">
        <v>447</v>
      </c>
      <c r="C50" s="11">
        <v>0</v>
      </c>
    </row>
    <row r="51" spans="1:3" ht="16" customHeight="1" x14ac:dyDescent="0.2">
      <c r="A51" s="29" t="s">
        <v>448</v>
      </c>
      <c r="B51" s="10" t="s">
        <v>449</v>
      </c>
      <c r="C51" s="11">
        <v>71788.600000000006</v>
      </c>
    </row>
    <row r="52" spans="1:3" ht="16" customHeight="1" x14ac:dyDescent="0.2">
      <c r="A52" s="29">
        <v>25</v>
      </c>
      <c r="B52" s="10" t="s">
        <v>347</v>
      </c>
      <c r="C52" s="11">
        <f>C53</f>
        <v>9836580.5</v>
      </c>
    </row>
    <row r="53" spans="1:3" ht="16" customHeight="1" x14ac:dyDescent="0.2">
      <c r="A53" s="29" t="s">
        <v>450</v>
      </c>
      <c r="B53" s="10" t="s">
        <v>356</v>
      </c>
      <c r="C53" s="11">
        <v>9836580.5</v>
      </c>
    </row>
    <row r="54" spans="1:3" ht="16" customHeight="1" x14ac:dyDescent="0.2">
      <c r="A54" s="29">
        <v>26</v>
      </c>
      <c r="B54" s="10" t="s">
        <v>451</v>
      </c>
      <c r="C54" s="11"/>
    </row>
    <row r="55" spans="1:3" ht="16" customHeight="1" x14ac:dyDescent="0.2">
      <c r="A55" s="28">
        <v>30</v>
      </c>
      <c r="B55" s="12" t="s">
        <v>366</v>
      </c>
      <c r="C55" s="13">
        <f>C56+C58+C62+C65+C68</f>
        <v>6442742.523737831</v>
      </c>
    </row>
    <row r="56" spans="1:3" ht="16" customHeight="1" x14ac:dyDescent="0.2">
      <c r="A56" s="29">
        <v>31</v>
      </c>
      <c r="B56" s="10" t="s">
        <v>452</v>
      </c>
      <c r="C56" s="11">
        <f>C57</f>
        <v>1333020.8</v>
      </c>
    </row>
    <row r="57" spans="1:3" ht="16" customHeight="1" x14ac:dyDescent="0.2">
      <c r="A57" s="29">
        <v>317</v>
      </c>
      <c r="B57" s="10" t="s">
        <v>453</v>
      </c>
      <c r="C57" s="11">
        <v>1333020.8</v>
      </c>
    </row>
    <row r="58" spans="1:3" ht="16" customHeight="1" x14ac:dyDescent="0.2">
      <c r="A58" s="29">
        <v>33</v>
      </c>
      <c r="B58" s="10" t="s">
        <v>369</v>
      </c>
      <c r="C58" s="11">
        <f>C59</f>
        <v>2407166.4</v>
      </c>
    </row>
    <row r="59" spans="1:3" ht="16" customHeight="1" x14ac:dyDescent="0.2">
      <c r="A59" s="29">
        <v>331</v>
      </c>
      <c r="B59" s="10" t="s">
        <v>454</v>
      </c>
      <c r="C59" s="11">
        <f>C60+C61</f>
        <v>2407166.4</v>
      </c>
    </row>
    <row r="60" spans="1:3" ht="16" customHeight="1" x14ac:dyDescent="0.2">
      <c r="A60" s="29">
        <v>331.3</v>
      </c>
      <c r="B60" s="10" t="s">
        <v>455</v>
      </c>
      <c r="C60" s="11">
        <v>215000</v>
      </c>
    </row>
    <row r="61" spans="1:3" ht="16" customHeight="1" x14ac:dyDescent="0.2">
      <c r="A61" s="29">
        <v>331.5</v>
      </c>
      <c r="B61" s="10" t="s">
        <v>456</v>
      </c>
      <c r="C61" s="11">
        <v>2192166.4</v>
      </c>
    </row>
    <row r="62" spans="1:3" ht="16" customHeight="1" x14ac:dyDescent="0.2">
      <c r="A62" s="29">
        <v>34</v>
      </c>
      <c r="B62" s="10" t="s">
        <v>370</v>
      </c>
      <c r="C62" s="11">
        <f>C63+C64</f>
        <v>1665282.8</v>
      </c>
    </row>
    <row r="63" spans="1:3" ht="16" customHeight="1" x14ac:dyDescent="0.2">
      <c r="A63" s="29">
        <v>341</v>
      </c>
      <c r="B63" s="10" t="s">
        <v>457</v>
      </c>
      <c r="C63" s="11">
        <v>1635355.8</v>
      </c>
    </row>
    <row r="64" spans="1:3" ht="16" customHeight="1" x14ac:dyDescent="0.2">
      <c r="A64" s="29">
        <v>345</v>
      </c>
      <c r="B64" s="10" t="s">
        <v>458</v>
      </c>
      <c r="C64" s="11">
        <v>29927</v>
      </c>
    </row>
    <row r="65" spans="1:3" ht="16" customHeight="1" x14ac:dyDescent="0.2">
      <c r="A65" s="29">
        <v>35</v>
      </c>
      <c r="B65" s="10" t="s">
        <v>371</v>
      </c>
      <c r="C65" s="11">
        <f>C66+C67</f>
        <v>620313.58773783164</v>
      </c>
    </row>
    <row r="66" spans="1:3" ht="16" customHeight="1" x14ac:dyDescent="0.2">
      <c r="A66" s="29">
        <v>351</v>
      </c>
      <c r="B66" s="10" t="s">
        <v>459</v>
      </c>
      <c r="C66" s="11">
        <v>257261.4</v>
      </c>
    </row>
    <row r="67" spans="1:3" ht="16" customHeight="1" x14ac:dyDescent="0.2">
      <c r="A67" s="29">
        <v>352</v>
      </c>
      <c r="B67" s="10" t="s">
        <v>460</v>
      </c>
      <c r="C67" s="11">
        <v>363052.18773783161</v>
      </c>
    </row>
    <row r="68" spans="1:3" ht="16" customHeight="1" x14ac:dyDescent="0.2">
      <c r="A68" s="29">
        <v>36</v>
      </c>
      <c r="B68" s="10" t="s">
        <v>372</v>
      </c>
      <c r="C68" s="11">
        <f>C69+C70</f>
        <v>416958.9359999997</v>
      </c>
    </row>
    <row r="69" spans="1:3" ht="16" customHeight="1" x14ac:dyDescent="0.2">
      <c r="A69" s="29">
        <v>361</v>
      </c>
      <c r="B69" s="10" t="s">
        <v>459</v>
      </c>
      <c r="C69" s="11"/>
    </row>
    <row r="70" spans="1:3" ht="16" customHeight="1" x14ac:dyDescent="0.2">
      <c r="A70" s="29">
        <v>362</v>
      </c>
      <c r="B70" s="10" t="s">
        <v>460</v>
      </c>
      <c r="C70" s="11">
        <v>416958.9359999997</v>
      </c>
    </row>
    <row r="71" spans="1:3" ht="16" customHeight="1" x14ac:dyDescent="0.2">
      <c r="A71" s="28">
        <v>40</v>
      </c>
      <c r="B71" s="12" t="s">
        <v>461</v>
      </c>
      <c r="C71" s="13">
        <f>C72</f>
        <v>4169765</v>
      </c>
    </row>
    <row r="72" spans="1:3" ht="16" customHeight="1" x14ac:dyDescent="0.2">
      <c r="A72" s="29">
        <v>41</v>
      </c>
      <c r="B72" s="10" t="s">
        <v>462</v>
      </c>
      <c r="C72" s="11">
        <v>4169765</v>
      </c>
    </row>
    <row r="73" spans="1:3" ht="16" customHeight="1" x14ac:dyDescent="0.2">
      <c r="A73" s="28">
        <v>50</v>
      </c>
      <c r="B73" s="12" t="s">
        <v>463</v>
      </c>
      <c r="C73" s="13">
        <f>C74</f>
        <v>16408781.6</v>
      </c>
    </row>
    <row r="74" spans="1:3" ht="16" customHeight="1" x14ac:dyDescent="0.2">
      <c r="A74" s="29">
        <v>54</v>
      </c>
      <c r="B74" s="10" t="s">
        <v>464</v>
      </c>
      <c r="C74" s="11">
        <v>16408781.6</v>
      </c>
    </row>
    <row r="75" spans="1:3" ht="16" customHeight="1" x14ac:dyDescent="0.2">
      <c r="A75" s="28">
        <v>60</v>
      </c>
      <c r="B75" s="12" t="s">
        <v>377</v>
      </c>
      <c r="C75" s="13">
        <f>C76</f>
        <v>6160606</v>
      </c>
    </row>
    <row r="76" spans="1:3" ht="16" customHeight="1" x14ac:dyDescent="0.2">
      <c r="A76" s="29">
        <v>61</v>
      </c>
      <c r="B76" s="10" t="s">
        <v>465</v>
      </c>
      <c r="C76" s="11">
        <v>6160606</v>
      </c>
    </row>
    <row r="77" spans="1:3" ht="16" customHeight="1" x14ac:dyDescent="0.2">
      <c r="A77" s="29">
        <v>70</v>
      </c>
      <c r="B77" s="10" t="s">
        <v>379</v>
      </c>
      <c r="C77" s="11">
        <f>C78</f>
        <v>2456659.2000000002</v>
      </c>
    </row>
    <row r="78" spans="1:3" ht="16" customHeight="1" x14ac:dyDescent="0.2">
      <c r="A78" s="29">
        <v>71</v>
      </c>
      <c r="B78" s="10" t="s">
        <v>380</v>
      </c>
      <c r="C78" s="11">
        <v>2456659.2000000002</v>
      </c>
    </row>
    <row r="79" spans="1:3" ht="48" customHeight="1" x14ac:dyDescent="0.2">
      <c r="A79" s="14" t="s">
        <v>466</v>
      </c>
      <c r="B79" s="10" t="s">
        <v>466</v>
      </c>
      <c r="C79" s="11">
        <v>33779050.138262168</v>
      </c>
    </row>
  </sheetData>
  <mergeCells count="3">
    <mergeCell ref="C1:C2"/>
    <mergeCell ref="B1:B2"/>
    <mergeCell ref="A1:A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D52"/>
  <sheetViews>
    <sheetView topLeftCell="A13" zoomScale="225" workbookViewId="0">
      <selection activeCell="B5" sqref="B5"/>
    </sheetView>
  </sheetViews>
  <sheetFormatPr baseColWidth="10" defaultColWidth="10.6640625" defaultRowHeight="13" x14ac:dyDescent="0.2"/>
  <cols>
    <col min="1" max="1" width="19" style="19" customWidth="1"/>
    <col min="2" max="2" width="16.5" style="19" customWidth="1"/>
    <col min="3" max="3" width="22.5" style="19" customWidth="1"/>
    <col min="4" max="4" width="32.5" style="19" customWidth="1"/>
    <col min="5" max="5" width="10.6640625" style="19" customWidth="1"/>
    <col min="6" max="16384" width="10.6640625" style="19"/>
  </cols>
  <sheetData>
    <row r="1" spans="1:4" ht="17" customHeight="1" thickBot="1" x14ac:dyDescent="0.25">
      <c r="A1" s="17" t="s">
        <v>467</v>
      </c>
      <c r="B1" s="18" t="s">
        <v>468</v>
      </c>
      <c r="C1" s="18" t="s">
        <v>14</v>
      </c>
      <c r="D1" s="18" t="s">
        <v>469</v>
      </c>
    </row>
    <row r="2" spans="1:4" ht="14" customHeight="1" thickBot="1" x14ac:dyDescent="0.25">
      <c r="A2" s="155" t="s">
        <v>470</v>
      </c>
      <c r="B2" s="156"/>
      <c r="C2" s="156"/>
      <c r="D2" s="157"/>
    </row>
    <row r="3" spans="1:4" ht="14" customHeight="1" thickBot="1" x14ac:dyDescent="0.25">
      <c r="A3" s="20" t="s">
        <v>471</v>
      </c>
      <c r="B3" s="5">
        <v>83</v>
      </c>
      <c r="C3" s="21" t="s">
        <v>472</v>
      </c>
      <c r="D3" s="21" t="s">
        <v>473</v>
      </c>
    </row>
    <row r="4" spans="1:4" ht="14" customHeight="1" thickBot="1" x14ac:dyDescent="0.25">
      <c r="A4" s="20" t="s">
        <v>474</v>
      </c>
      <c r="B4" s="5">
        <v>20</v>
      </c>
      <c r="C4" s="21" t="s">
        <v>475</v>
      </c>
      <c r="D4" s="21"/>
    </row>
    <row r="5" spans="1:4" ht="14" customHeight="1" thickBot="1" x14ac:dyDescent="0.25">
      <c r="A5" s="20" t="s">
        <v>476</v>
      </c>
      <c r="B5" s="5">
        <v>5.5</v>
      </c>
      <c r="C5" s="21" t="s">
        <v>477</v>
      </c>
      <c r="D5" s="21" t="s">
        <v>473</v>
      </c>
    </row>
    <row r="6" spans="1:4" ht="14" customHeight="1" thickBot="1" x14ac:dyDescent="0.25">
      <c r="A6" s="20" t="s">
        <v>478</v>
      </c>
      <c r="B6" s="5">
        <v>16.5</v>
      </c>
      <c r="C6" s="21" t="s">
        <v>477</v>
      </c>
      <c r="D6" s="21" t="s">
        <v>473</v>
      </c>
    </row>
    <row r="7" spans="1:4" ht="14" customHeight="1" thickBot="1" x14ac:dyDescent="0.25">
      <c r="A7" s="155" t="s">
        <v>359</v>
      </c>
      <c r="B7" s="156"/>
      <c r="C7" s="156"/>
      <c r="D7" s="157"/>
    </row>
    <row r="8" spans="1:4" ht="14" customHeight="1" thickBot="1" x14ac:dyDescent="0.25">
      <c r="A8" s="20" t="s">
        <v>479</v>
      </c>
      <c r="B8" s="5">
        <v>145.30000000000001</v>
      </c>
      <c r="C8" s="21" t="s">
        <v>480</v>
      </c>
      <c r="D8" s="21" t="s">
        <v>481</v>
      </c>
    </row>
    <row r="9" spans="1:4" ht="14" customHeight="1" thickBot="1" x14ac:dyDescent="0.25">
      <c r="A9" s="20" t="s">
        <v>482</v>
      </c>
      <c r="B9" s="5">
        <v>30</v>
      </c>
      <c r="C9" s="21" t="s">
        <v>483</v>
      </c>
      <c r="D9" s="21" t="s">
        <v>484</v>
      </c>
    </row>
    <row r="10" spans="1:4" ht="14" customHeight="1" thickBot="1" x14ac:dyDescent="0.25">
      <c r="A10" s="20" t="s">
        <v>485</v>
      </c>
      <c r="B10" s="5">
        <v>19.75</v>
      </c>
      <c r="C10" s="21" t="s">
        <v>483</v>
      </c>
      <c r="D10" s="21" t="s">
        <v>486</v>
      </c>
    </row>
    <row r="11" spans="1:4" ht="14" customHeight="1" thickBot="1" x14ac:dyDescent="0.25">
      <c r="A11" s="20" t="s">
        <v>487</v>
      </c>
      <c r="B11" s="5">
        <v>36</v>
      </c>
      <c r="C11" s="21" t="s">
        <v>488</v>
      </c>
      <c r="D11" s="21" t="s">
        <v>473</v>
      </c>
    </row>
    <row r="12" spans="1:4" ht="14" customHeight="1" thickBot="1" x14ac:dyDescent="0.25">
      <c r="A12" s="155" t="s">
        <v>236</v>
      </c>
      <c r="B12" s="156"/>
      <c r="C12" s="156"/>
      <c r="D12" s="157"/>
    </row>
    <row r="13" spans="1:4" ht="14" customHeight="1" thickBot="1" x14ac:dyDescent="0.25">
      <c r="A13" s="20" t="s">
        <v>489</v>
      </c>
      <c r="B13" s="5" t="s">
        <v>224</v>
      </c>
      <c r="C13" s="21" t="s">
        <v>473</v>
      </c>
      <c r="D13" s="21" t="s">
        <v>490</v>
      </c>
    </row>
    <row r="14" spans="1:4" ht="14" customHeight="1" thickBot="1" x14ac:dyDescent="0.25">
      <c r="A14" s="20" t="s">
        <v>491</v>
      </c>
      <c r="B14" s="5">
        <v>124</v>
      </c>
      <c r="C14" s="21" t="s">
        <v>488</v>
      </c>
      <c r="D14" s="21" t="s">
        <v>492</v>
      </c>
    </row>
    <row r="15" spans="1:4" ht="14" customHeight="1" thickBot="1" x14ac:dyDescent="0.25">
      <c r="A15" s="20" t="s">
        <v>493</v>
      </c>
      <c r="B15" s="5">
        <v>1</v>
      </c>
      <c r="C15" s="21" t="s">
        <v>477</v>
      </c>
      <c r="D15" s="21" t="s">
        <v>473</v>
      </c>
    </row>
    <row r="16" spans="1:4" ht="16" customHeight="1" thickBot="1" x14ac:dyDescent="0.25">
      <c r="A16" s="20" t="s">
        <v>494</v>
      </c>
      <c r="B16" s="5">
        <v>818.4</v>
      </c>
      <c r="C16" s="21" t="s">
        <v>495</v>
      </c>
      <c r="D16" s="21" t="s">
        <v>473</v>
      </c>
    </row>
    <row r="17" spans="1:4" ht="14" customHeight="1" thickBot="1" x14ac:dyDescent="0.25">
      <c r="A17" s="20" t="s">
        <v>496</v>
      </c>
      <c r="B17" s="5">
        <v>318</v>
      </c>
      <c r="C17" s="21" t="s">
        <v>188</v>
      </c>
      <c r="D17" s="21"/>
    </row>
    <row r="18" spans="1:4" ht="16" customHeight="1" thickBot="1" x14ac:dyDescent="0.25">
      <c r="A18" s="20" t="s">
        <v>497</v>
      </c>
      <c r="B18" s="5">
        <v>570</v>
      </c>
      <c r="C18" s="21" t="s">
        <v>495</v>
      </c>
      <c r="D18" s="21" t="s">
        <v>473</v>
      </c>
    </row>
    <row r="19" spans="1:4" ht="14" customHeight="1" thickBot="1" x14ac:dyDescent="0.25">
      <c r="A19" s="20" t="s">
        <v>498</v>
      </c>
      <c r="B19" s="5">
        <v>1.9E-2</v>
      </c>
      <c r="C19" s="21" t="s">
        <v>499</v>
      </c>
      <c r="D19" s="21" t="s">
        <v>473</v>
      </c>
    </row>
    <row r="20" spans="1:4" ht="14" customHeight="1" thickBot="1" x14ac:dyDescent="0.25">
      <c r="A20" s="155" t="s">
        <v>500</v>
      </c>
      <c r="B20" s="156"/>
      <c r="C20" s="156"/>
      <c r="D20" s="157"/>
    </row>
    <row r="21" spans="1:4" ht="14" customHeight="1" thickBot="1" x14ac:dyDescent="0.25">
      <c r="A21" s="20" t="s">
        <v>501</v>
      </c>
      <c r="B21" s="5">
        <v>4</v>
      </c>
      <c r="C21" s="21" t="s">
        <v>488</v>
      </c>
      <c r="D21" s="21" t="s">
        <v>473</v>
      </c>
    </row>
    <row r="22" spans="1:4" ht="14" customHeight="1" thickBot="1" x14ac:dyDescent="0.25">
      <c r="A22" s="20" t="s">
        <v>502</v>
      </c>
      <c r="B22" s="5">
        <v>1</v>
      </c>
      <c r="C22" s="21" t="s">
        <v>488</v>
      </c>
      <c r="D22" s="21" t="s">
        <v>473</v>
      </c>
    </row>
    <row r="23" spans="1:4" ht="14" customHeight="1" thickBot="1" x14ac:dyDescent="0.25">
      <c r="A23" s="20" t="s">
        <v>503</v>
      </c>
      <c r="B23" s="5">
        <v>124</v>
      </c>
      <c r="C23" s="21" t="s">
        <v>488</v>
      </c>
      <c r="D23" s="21" t="s">
        <v>504</v>
      </c>
    </row>
    <row r="24" spans="1:4" ht="14" customHeight="1" thickBot="1" x14ac:dyDescent="0.25">
      <c r="A24" s="20" t="s">
        <v>505</v>
      </c>
      <c r="B24" s="5">
        <v>1</v>
      </c>
      <c r="C24" s="21" t="s">
        <v>477</v>
      </c>
      <c r="D24" s="21" t="s">
        <v>473</v>
      </c>
    </row>
    <row r="25" spans="1:4" ht="16" customHeight="1" thickBot="1" x14ac:dyDescent="0.25">
      <c r="A25" s="20" t="s">
        <v>506</v>
      </c>
      <c r="B25" s="5">
        <v>880.8</v>
      </c>
      <c r="C25" s="21" t="s">
        <v>495</v>
      </c>
      <c r="D25" s="21" t="s">
        <v>507</v>
      </c>
    </row>
    <row r="26" spans="1:4" ht="14" customHeight="1" thickBot="1" x14ac:dyDescent="0.25">
      <c r="A26" s="20" t="s">
        <v>508</v>
      </c>
      <c r="B26" s="5">
        <v>309</v>
      </c>
      <c r="C26" s="21" t="s">
        <v>188</v>
      </c>
      <c r="D26" s="21" t="s">
        <v>473</v>
      </c>
    </row>
    <row r="27" spans="1:4" ht="18" customHeight="1" thickBot="1" x14ac:dyDescent="0.25">
      <c r="A27" s="20" t="s">
        <v>509</v>
      </c>
      <c r="B27" s="5">
        <v>49.2</v>
      </c>
      <c r="C27" s="21" t="s">
        <v>495</v>
      </c>
      <c r="D27" s="21" t="s">
        <v>510</v>
      </c>
    </row>
    <row r="28" spans="1:4" ht="14" customHeight="1" thickBot="1" x14ac:dyDescent="0.25">
      <c r="A28" s="20" t="s">
        <v>511</v>
      </c>
      <c r="B28" s="5">
        <v>14</v>
      </c>
      <c r="C28" s="21" t="s">
        <v>188</v>
      </c>
      <c r="D28" s="21" t="s">
        <v>473</v>
      </c>
    </row>
    <row r="29" spans="1:4" ht="18" customHeight="1" thickBot="1" x14ac:dyDescent="0.25">
      <c r="A29" s="20" t="s">
        <v>512</v>
      </c>
      <c r="B29" s="5">
        <v>14</v>
      </c>
      <c r="C29" s="21" t="s">
        <v>188</v>
      </c>
      <c r="D29" s="21" t="s">
        <v>510</v>
      </c>
    </row>
    <row r="30" spans="1:4" ht="14" customHeight="1" thickBot="1" x14ac:dyDescent="0.25">
      <c r="A30" s="155" t="s">
        <v>513</v>
      </c>
      <c r="B30" s="156"/>
      <c r="C30" s="156"/>
      <c r="D30" s="157"/>
    </row>
    <row r="31" spans="1:4" ht="14" customHeight="1" thickBot="1" x14ac:dyDescent="0.2">
      <c r="A31" s="20" t="s">
        <v>514</v>
      </c>
      <c r="B31" s="5">
        <v>5</v>
      </c>
      <c r="C31" s="22"/>
      <c r="D31" s="21" t="s">
        <v>473</v>
      </c>
    </row>
    <row r="32" spans="1:4" ht="14" customHeight="1" thickBot="1" x14ac:dyDescent="0.2">
      <c r="A32" s="20" t="s">
        <v>515</v>
      </c>
      <c r="B32" s="5">
        <v>2</v>
      </c>
      <c r="C32" s="22"/>
      <c r="D32" s="21" t="s">
        <v>473</v>
      </c>
    </row>
    <row r="33" spans="1:4" ht="14" customHeight="1" thickBot="1" x14ac:dyDescent="0.2">
      <c r="A33" s="20" t="s">
        <v>516</v>
      </c>
      <c r="B33" s="5">
        <v>9</v>
      </c>
      <c r="C33" s="22"/>
      <c r="D33" s="21" t="s">
        <v>473</v>
      </c>
    </row>
    <row r="34" spans="1:4" ht="14" customHeight="1" thickBot="1" x14ac:dyDescent="0.2">
      <c r="A34" s="20" t="s">
        <v>517</v>
      </c>
      <c r="B34" s="5">
        <v>213</v>
      </c>
      <c r="C34" s="22"/>
      <c r="D34" s="21" t="s">
        <v>473</v>
      </c>
    </row>
    <row r="35" spans="1:4" s="27" customFormat="1" ht="29" customHeight="1" thickBot="1" x14ac:dyDescent="0.25">
      <c r="A35" s="23" t="s">
        <v>518</v>
      </c>
      <c r="B35" s="24">
        <v>48</v>
      </c>
      <c r="C35" s="25" t="s">
        <v>473</v>
      </c>
      <c r="D35" s="26" t="s">
        <v>519</v>
      </c>
    </row>
    <row r="36" spans="1:4" s="27" customFormat="1" ht="14" customHeight="1" thickBot="1" x14ac:dyDescent="0.25">
      <c r="A36" s="23" t="s">
        <v>520</v>
      </c>
      <c r="B36" s="24">
        <v>277</v>
      </c>
      <c r="C36" s="25"/>
      <c r="D36" s="26"/>
    </row>
    <row r="37" spans="1:4" ht="14" customHeight="1" thickBot="1" x14ac:dyDescent="0.25">
      <c r="A37" s="155" t="s">
        <v>521</v>
      </c>
      <c r="B37" s="156"/>
      <c r="C37" s="156"/>
      <c r="D37" s="157"/>
    </row>
    <row r="38" spans="1:4" ht="14" customHeight="1" thickBot="1" x14ac:dyDescent="0.25">
      <c r="A38" s="20" t="s">
        <v>522</v>
      </c>
      <c r="B38" s="5">
        <v>54.2</v>
      </c>
      <c r="C38" s="21" t="s">
        <v>188</v>
      </c>
      <c r="D38" s="21" t="s">
        <v>523</v>
      </c>
    </row>
    <row r="39" spans="1:4" ht="14" customHeight="1" thickBot="1" x14ac:dyDescent="0.25">
      <c r="A39" s="20" t="s">
        <v>524</v>
      </c>
      <c r="B39" s="5">
        <v>56.3</v>
      </c>
      <c r="C39" s="21" t="s">
        <v>188</v>
      </c>
      <c r="D39" s="21" t="s">
        <v>525</v>
      </c>
    </row>
    <row r="40" spans="1:4" ht="14" customHeight="1" thickBot="1" x14ac:dyDescent="0.25">
      <c r="A40" s="20" t="s">
        <v>526</v>
      </c>
      <c r="B40" s="5">
        <v>39.700000000000003</v>
      </c>
      <c r="C40" s="21" t="s">
        <v>188</v>
      </c>
      <c r="D40" s="21" t="s">
        <v>527</v>
      </c>
    </row>
    <row r="41" spans="1:4" ht="14" customHeight="1" thickBot="1" x14ac:dyDescent="0.25">
      <c r="A41" s="20" t="s">
        <v>528</v>
      </c>
      <c r="B41" s="5">
        <v>95.3</v>
      </c>
      <c r="C41" s="21" t="s">
        <v>188</v>
      </c>
      <c r="D41" s="21" t="s">
        <v>529</v>
      </c>
    </row>
    <row r="42" spans="1:4" ht="14" customHeight="1" thickBot="1" x14ac:dyDescent="0.25">
      <c r="A42" s="20" t="s">
        <v>530</v>
      </c>
      <c r="B42" s="5">
        <v>2571.9</v>
      </c>
      <c r="C42" s="21" t="s">
        <v>188</v>
      </c>
      <c r="D42" s="21" t="s">
        <v>531</v>
      </c>
    </row>
    <row r="43" spans="1:4" ht="14" customHeight="1" thickBot="1" x14ac:dyDescent="0.25">
      <c r="A43" s="20" t="s">
        <v>532</v>
      </c>
      <c r="B43" s="5">
        <v>925.3</v>
      </c>
      <c r="C43" s="21" t="s">
        <v>188</v>
      </c>
      <c r="D43" s="21" t="s">
        <v>533</v>
      </c>
    </row>
    <row r="44" spans="1:4" ht="14" customHeight="1" thickBot="1" x14ac:dyDescent="0.25">
      <c r="A44" s="155" t="s">
        <v>534</v>
      </c>
      <c r="B44" s="156"/>
      <c r="C44" s="156"/>
      <c r="D44" s="157"/>
    </row>
    <row r="45" spans="1:4" ht="14" customHeight="1" thickBot="1" x14ac:dyDescent="0.25">
      <c r="A45" s="20" t="s">
        <v>535</v>
      </c>
      <c r="B45" s="5">
        <v>8.3000000000000007</v>
      </c>
      <c r="C45" s="21" t="s">
        <v>499</v>
      </c>
      <c r="D45" s="21" t="s">
        <v>536</v>
      </c>
    </row>
    <row r="46" spans="1:4" ht="14" customHeight="1" thickBot="1" x14ac:dyDescent="0.25">
      <c r="A46" s="155" t="s">
        <v>537</v>
      </c>
      <c r="B46" s="156"/>
      <c r="C46" s="156"/>
      <c r="D46" s="157"/>
    </row>
    <row r="47" spans="1:4" ht="14" customHeight="1" thickBot="1" x14ac:dyDescent="0.25">
      <c r="A47" s="20" t="s">
        <v>538</v>
      </c>
      <c r="B47" s="5">
        <v>156</v>
      </c>
      <c r="C47" s="21" t="s">
        <v>188</v>
      </c>
      <c r="D47" s="21" t="s">
        <v>539</v>
      </c>
    </row>
    <row r="48" spans="1:4" ht="14" customHeight="1" thickBot="1" x14ac:dyDescent="0.25">
      <c r="A48" s="20" t="s">
        <v>540</v>
      </c>
      <c r="B48" s="5">
        <v>4</v>
      </c>
      <c r="C48" s="21" t="s">
        <v>488</v>
      </c>
      <c r="D48" s="21" t="s">
        <v>541</v>
      </c>
    </row>
    <row r="49" spans="1:4" ht="14" customHeight="1" thickBot="1" x14ac:dyDescent="0.25">
      <c r="A49" s="20" t="s">
        <v>542</v>
      </c>
      <c r="B49" s="5">
        <v>0.86</v>
      </c>
      <c r="C49" s="21" t="s">
        <v>499</v>
      </c>
      <c r="D49" s="21" t="s">
        <v>543</v>
      </c>
    </row>
    <row r="50" spans="1:4" ht="14" customHeight="1" thickBot="1" x14ac:dyDescent="0.25">
      <c r="A50" s="155" t="s">
        <v>544</v>
      </c>
      <c r="B50" s="156"/>
      <c r="C50" s="156"/>
      <c r="D50" s="157"/>
    </row>
    <row r="51" spans="1:4" ht="14" customHeight="1" thickBot="1" x14ac:dyDescent="0.25">
      <c r="A51" s="20" t="s">
        <v>545</v>
      </c>
      <c r="B51" s="5">
        <v>1.1100000000000001</v>
      </c>
      <c r="C51" s="21" t="s">
        <v>499</v>
      </c>
      <c r="D51" s="21" t="s">
        <v>539</v>
      </c>
    </row>
    <row r="52" spans="1:4" ht="14" customHeight="1" thickBot="1" x14ac:dyDescent="0.25">
      <c r="A52" s="20" t="s">
        <v>546</v>
      </c>
      <c r="B52" s="5">
        <v>1.587</v>
      </c>
      <c r="C52" s="21" t="s">
        <v>499</v>
      </c>
      <c r="D52" s="21" t="s">
        <v>539</v>
      </c>
    </row>
  </sheetData>
  <mergeCells count="9">
    <mergeCell ref="A50:D50"/>
    <mergeCell ref="A20:D20"/>
    <mergeCell ref="A30:D30"/>
    <mergeCell ref="A7:D7"/>
    <mergeCell ref="A2:D2"/>
    <mergeCell ref="A46:D46"/>
    <mergeCell ref="A44:D44"/>
    <mergeCell ref="A37:D37"/>
    <mergeCell ref="A12:D1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43"/>
  <sheetViews>
    <sheetView zoomScaleNormal="70" workbookViewId="0">
      <selection activeCell="G43" sqref="G43"/>
    </sheetView>
  </sheetViews>
  <sheetFormatPr baseColWidth="10" defaultColWidth="11.5" defaultRowHeight="15" x14ac:dyDescent="0.2"/>
  <cols>
    <col min="2" max="2" width="15" customWidth="1"/>
    <col min="5" max="5" width="10" customWidth="1"/>
    <col min="6" max="6" width="17.1640625" customWidth="1"/>
    <col min="7" max="7" width="12.5" customWidth="1"/>
  </cols>
  <sheetData>
    <row r="1" spans="1:13" x14ac:dyDescent="0.2">
      <c r="A1" s="1" t="s">
        <v>547</v>
      </c>
      <c r="B1" s="1" t="s">
        <v>39</v>
      </c>
      <c r="C1" s="1" t="s">
        <v>53</v>
      </c>
      <c r="D1" s="1" t="s">
        <v>219</v>
      </c>
      <c r="E1" s="1" t="s">
        <v>153</v>
      </c>
      <c r="F1" s="1" t="s">
        <v>86</v>
      </c>
      <c r="G1" s="1" t="s">
        <v>73</v>
      </c>
    </row>
    <row r="2" spans="1:13" x14ac:dyDescent="0.2">
      <c r="A2">
        <v>1978</v>
      </c>
      <c r="B2" s="85">
        <v>3.1208999999999998</v>
      </c>
      <c r="C2" s="85">
        <v>4.2535999999999996</v>
      </c>
      <c r="D2" s="85">
        <v>3.8110000000000004</v>
      </c>
      <c r="E2" s="85">
        <v>5.3954000000000004</v>
      </c>
      <c r="F2" s="2">
        <f>(C2+D2+E2)/3</f>
        <v>4.4866666666666672</v>
      </c>
      <c r="G2" s="2">
        <f t="shared" ref="G2:G43" si="0">AVERAGE(C2,E2)</f>
        <v>4.8245000000000005</v>
      </c>
      <c r="J2" s="85"/>
      <c r="K2" s="85"/>
      <c r="L2" s="85"/>
      <c r="M2" s="85"/>
    </row>
    <row r="3" spans="1:13" x14ac:dyDescent="0.2">
      <c r="A3">
        <v>1985</v>
      </c>
      <c r="B3" s="85">
        <v>2.5380099859802741</v>
      </c>
      <c r="C3" s="85">
        <v>3.3122862823061627</v>
      </c>
      <c r="D3" s="85">
        <v>3.1461261021151308</v>
      </c>
      <c r="E3" s="85">
        <v>4.0603968543567213</v>
      </c>
      <c r="F3" s="2">
        <f>(C3+D3+E3)/3</f>
        <v>3.5062697462593384</v>
      </c>
      <c r="G3" s="2">
        <f t="shared" si="0"/>
        <v>3.686341568331442</v>
      </c>
      <c r="J3" s="85"/>
      <c r="K3" s="85"/>
      <c r="L3" s="85"/>
      <c r="M3" s="85"/>
    </row>
    <row r="4" spans="1:13" x14ac:dyDescent="0.2">
      <c r="A4">
        <v>1986</v>
      </c>
      <c r="B4" s="85">
        <v>2.4877975582000915</v>
      </c>
      <c r="C4" s="85">
        <v>3.20862782859894</v>
      </c>
      <c r="D4" s="85">
        <v>3.1524764847449731</v>
      </c>
      <c r="E4" s="85">
        <v>3.957082035561005</v>
      </c>
      <c r="F4" s="2">
        <f t="shared" ref="F4:F43" si="1">(C4+D4+E4)/3</f>
        <v>3.4393954496349726</v>
      </c>
      <c r="G4" s="2">
        <f t="shared" si="0"/>
        <v>3.5828549320799725</v>
      </c>
      <c r="J4" s="85"/>
      <c r="K4" s="85"/>
      <c r="L4" s="85"/>
      <c r="M4" s="85"/>
    </row>
    <row r="5" spans="1:13" x14ac:dyDescent="0.2">
      <c r="A5">
        <v>1987</v>
      </c>
      <c r="B5" s="85">
        <v>2.4278242538033323</v>
      </c>
      <c r="C5" s="85">
        <v>3.111260504201681</v>
      </c>
      <c r="D5" s="85">
        <v>3.0891631494864971</v>
      </c>
      <c r="E5" s="85">
        <v>3.9210211421628185</v>
      </c>
      <c r="F5" s="2">
        <f t="shared" si="1"/>
        <v>3.3738149319503319</v>
      </c>
      <c r="G5" s="2">
        <f t="shared" si="0"/>
        <v>3.5161408231822495</v>
      </c>
      <c r="J5" s="85"/>
      <c r="K5" s="85"/>
      <c r="L5" s="85"/>
      <c r="M5" s="85"/>
    </row>
    <row r="6" spans="1:13" x14ac:dyDescent="0.2">
      <c r="A6">
        <v>1988</v>
      </c>
      <c r="B6" s="85">
        <v>2.3451469298145935</v>
      </c>
      <c r="C6" s="85">
        <v>2.9898250336473748</v>
      </c>
      <c r="D6" s="85">
        <v>2.9257907342027525</v>
      </c>
      <c r="E6" s="85">
        <v>3.7360351953690305</v>
      </c>
      <c r="F6" s="2">
        <f t="shared" si="1"/>
        <v>3.2172169877397194</v>
      </c>
      <c r="G6" s="2">
        <f t="shared" si="0"/>
        <v>3.3629301145082025</v>
      </c>
      <c r="J6" s="85"/>
      <c r="K6" s="85"/>
      <c r="L6" s="85"/>
      <c r="M6" s="85"/>
    </row>
    <row r="7" spans="1:13" x14ac:dyDescent="0.2">
      <c r="A7">
        <v>1989</v>
      </c>
      <c r="B7" s="85">
        <v>2.256518255453893</v>
      </c>
      <c r="C7" s="85">
        <v>2.8925000000000001</v>
      </c>
      <c r="D7" s="85">
        <v>2.8323254237288134</v>
      </c>
      <c r="E7" s="85">
        <v>3.5114258977149078</v>
      </c>
      <c r="F7" s="2">
        <f t="shared" si="1"/>
        <v>3.0787504404812402</v>
      </c>
      <c r="G7" s="2">
        <f t="shared" si="0"/>
        <v>3.2019629488574539</v>
      </c>
      <c r="J7" s="85"/>
      <c r="K7" s="85"/>
      <c r="L7" s="85"/>
      <c r="M7" s="85"/>
    </row>
    <row r="8" spans="1:13" x14ac:dyDescent="0.2">
      <c r="A8">
        <v>1990</v>
      </c>
      <c r="B8" s="85">
        <v>2.1749312244700096</v>
      </c>
      <c r="C8" s="85">
        <v>2.7652780082987554</v>
      </c>
      <c r="D8" s="85">
        <v>2.8289709906646228</v>
      </c>
      <c r="E8" s="85">
        <v>3.4175275615567915</v>
      </c>
      <c r="F8" s="2">
        <f t="shared" si="1"/>
        <v>3.0039255201733899</v>
      </c>
      <c r="G8" s="2">
        <f t="shared" si="0"/>
        <v>3.0914027849277734</v>
      </c>
      <c r="J8" s="85"/>
      <c r="K8" s="85"/>
      <c r="L8" s="85"/>
      <c r="M8" s="85"/>
    </row>
    <row r="9" spans="1:13" x14ac:dyDescent="0.2">
      <c r="A9">
        <v>1991</v>
      </c>
      <c r="B9" s="85">
        <v>2.1039170078457592</v>
      </c>
      <c r="C9" s="85">
        <v>2.6561658031088089</v>
      </c>
      <c r="D9" s="85">
        <v>2.8109545618164198</v>
      </c>
      <c r="E9" s="85">
        <v>3.3052945650086425</v>
      </c>
      <c r="F9" s="2">
        <f t="shared" si="1"/>
        <v>2.9241383099779572</v>
      </c>
      <c r="G9" s="2">
        <f t="shared" si="0"/>
        <v>2.9807301840587259</v>
      </c>
      <c r="J9" s="85"/>
      <c r="K9" s="85"/>
      <c r="L9" s="85"/>
      <c r="M9" s="85"/>
    </row>
    <row r="10" spans="1:13" x14ac:dyDescent="0.2">
      <c r="A10">
        <v>1992</v>
      </c>
      <c r="B10" s="85">
        <v>2.0570924604282124</v>
      </c>
      <c r="C10" s="85">
        <v>2.5740903823870216</v>
      </c>
      <c r="D10" s="85">
        <v>2.7621964220121074</v>
      </c>
      <c r="E10" s="85">
        <v>3.169357706709226</v>
      </c>
      <c r="F10" s="2">
        <f t="shared" si="1"/>
        <v>2.8352148370361179</v>
      </c>
      <c r="G10" s="2">
        <f t="shared" si="0"/>
        <v>2.8717240445481238</v>
      </c>
      <c r="J10" s="85"/>
      <c r="K10" s="85"/>
      <c r="L10" s="85"/>
      <c r="M10" s="85"/>
    </row>
    <row r="11" spans="1:13" x14ac:dyDescent="0.2">
      <c r="A11">
        <v>1993</v>
      </c>
      <c r="B11" s="85">
        <v>2.0094226515033498</v>
      </c>
      <c r="C11" s="85">
        <v>2.4922662677636498</v>
      </c>
      <c r="D11" s="85">
        <v>2.63135365474339</v>
      </c>
      <c r="E11" s="85">
        <v>2.9935068645640079</v>
      </c>
      <c r="F11" s="2">
        <f t="shared" si="1"/>
        <v>2.7057089290236824</v>
      </c>
      <c r="G11" s="2">
        <f t="shared" si="0"/>
        <v>2.7428865661638291</v>
      </c>
      <c r="J11" s="85"/>
      <c r="K11" s="85"/>
      <c r="L11" s="85"/>
      <c r="M11" s="85"/>
    </row>
    <row r="12" spans="1:13" x14ac:dyDescent="0.2">
      <c r="A12">
        <v>1994</v>
      </c>
      <c r="B12" s="85">
        <v>1.9674319707138495</v>
      </c>
      <c r="C12" s="85">
        <v>2.4032888568337532</v>
      </c>
      <c r="D12" s="85">
        <v>2.5281440418378782</v>
      </c>
      <c r="E12" s="85">
        <v>2.9062257345491385</v>
      </c>
      <c r="F12" s="2">
        <f t="shared" si="1"/>
        <v>2.6125528777402565</v>
      </c>
      <c r="G12" s="2">
        <f t="shared" si="0"/>
        <v>2.6547572956914456</v>
      </c>
      <c r="J12" s="85"/>
      <c r="K12" s="85"/>
      <c r="L12" s="85"/>
      <c r="M12" s="85"/>
    </row>
    <row r="13" spans="1:13" x14ac:dyDescent="0.2">
      <c r="A13">
        <v>1995</v>
      </c>
      <c r="B13" s="85">
        <v>1.9269731760698572</v>
      </c>
      <c r="C13" s="85">
        <v>2.3615591778880223</v>
      </c>
      <c r="D13" s="85">
        <v>2.4372516415581296</v>
      </c>
      <c r="E13" s="85">
        <v>2.8565425394190873</v>
      </c>
      <c r="F13" s="2">
        <f t="shared" si="1"/>
        <v>2.5517844529550797</v>
      </c>
      <c r="G13" s="2">
        <f t="shared" si="0"/>
        <v>2.6090508586535548</v>
      </c>
      <c r="J13" s="85"/>
      <c r="K13" s="85"/>
      <c r="L13" s="85"/>
      <c r="M13" s="85"/>
    </row>
    <row r="14" spans="1:13" x14ac:dyDescent="0.2">
      <c r="A14">
        <v>1996</v>
      </c>
      <c r="B14" s="85">
        <v>1.8923762750283335</v>
      </c>
      <c r="C14" s="85">
        <v>2.3036017974421017</v>
      </c>
      <c r="D14" s="85">
        <v>2.4234333731200772</v>
      </c>
      <c r="E14" s="85">
        <v>2.7957551656920079</v>
      </c>
      <c r="F14" s="2">
        <f t="shared" si="1"/>
        <v>2.5075967787513953</v>
      </c>
      <c r="G14" s="2">
        <f t="shared" si="0"/>
        <v>2.5496784815670548</v>
      </c>
      <c r="J14" s="85"/>
      <c r="K14" s="85"/>
      <c r="L14" s="85"/>
      <c r="M14" s="85"/>
    </row>
    <row r="15" spans="1:13" x14ac:dyDescent="0.2">
      <c r="A15">
        <v>1997</v>
      </c>
      <c r="B15" s="85">
        <v>1.8602733048250197</v>
      </c>
      <c r="C15" s="85">
        <v>2.2446345570899293</v>
      </c>
      <c r="D15" s="85">
        <v>2.3817848319549539</v>
      </c>
      <c r="E15" s="85">
        <v>2.7305519276534986</v>
      </c>
      <c r="F15" s="2">
        <f t="shared" si="1"/>
        <v>2.4523237722327944</v>
      </c>
      <c r="G15" s="2">
        <f t="shared" si="0"/>
        <v>2.4875932423717142</v>
      </c>
      <c r="J15" s="85"/>
      <c r="K15" s="85"/>
      <c r="L15" s="85"/>
      <c r="M15" s="85"/>
    </row>
    <row r="16" spans="1:13" x14ac:dyDescent="0.2">
      <c r="A16">
        <v>1998</v>
      </c>
      <c r="B16" s="85">
        <v>1.8396117820303</v>
      </c>
      <c r="C16" s="85">
        <v>2.177170859196341</v>
      </c>
      <c r="D16" s="85">
        <v>2.39343685017093</v>
      </c>
      <c r="E16" s="85">
        <v>2.6719109087145525</v>
      </c>
      <c r="F16" s="2">
        <f t="shared" si="1"/>
        <v>2.4141728726939413</v>
      </c>
      <c r="G16" s="2">
        <f t="shared" si="0"/>
        <v>2.424540883955447</v>
      </c>
      <c r="J16" s="85"/>
      <c r="K16" s="85"/>
      <c r="L16" s="85"/>
      <c r="M16" s="85"/>
    </row>
    <row r="17" spans="1:13" x14ac:dyDescent="0.2">
      <c r="A17">
        <v>1999</v>
      </c>
      <c r="B17" s="85">
        <v>1.8139669369185658</v>
      </c>
      <c r="C17" s="85">
        <v>2.1049652558433358</v>
      </c>
      <c r="D17" s="85">
        <v>2.3703840756523262</v>
      </c>
      <c r="E17" s="85">
        <v>2.6550113847894279</v>
      </c>
      <c r="F17" s="2">
        <f t="shared" si="1"/>
        <v>2.3767869054283635</v>
      </c>
      <c r="G17" s="2">
        <f t="shared" si="0"/>
        <v>2.3799883203163819</v>
      </c>
      <c r="J17" s="85"/>
      <c r="K17" s="85"/>
      <c r="L17" s="85"/>
      <c r="M17" s="85"/>
    </row>
    <row r="18" spans="1:13" x14ac:dyDescent="0.2">
      <c r="A18">
        <v>2000</v>
      </c>
      <c r="B18" s="85">
        <v>1.7737677053824359</v>
      </c>
      <c r="C18" s="85">
        <v>2.0073253012048196</v>
      </c>
      <c r="D18" s="85">
        <v>2.3476354049835226</v>
      </c>
      <c r="E18" s="85">
        <v>2.626914596794709</v>
      </c>
      <c r="F18" s="2">
        <f t="shared" si="1"/>
        <v>2.3272917676610168</v>
      </c>
      <c r="G18" s="2">
        <f t="shared" si="0"/>
        <v>2.317119948999764</v>
      </c>
      <c r="J18" s="85"/>
      <c r="K18" s="85"/>
      <c r="L18" s="85"/>
      <c r="M18" s="85"/>
    </row>
    <row r="19" spans="1:13" x14ac:dyDescent="0.2">
      <c r="A19">
        <v>2001</v>
      </c>
      <c r="B19" s="85">
        <v>1.7346114484363127</v>
      </c>
      <c r="C19" s="85">
        <v>1.917238204833142</v>
      </c>
      <c r="D19" s="85">
        <v>2.3696924369747889</v>
      </c>
      <c r="E19" s="85">
        <v>2.5433233042707251</v>
      </c>
      <c r="F19" s="2">
        <f t="shared" si="1"/>
        <v>2.2767513153595522</v>
      </c>
      <c r="G19" s="2">
        <f t="shared" si="0"/>
        <v>2.2302807545519334</v>
      </c>
      <c r="J19" s="85"/>
      <c r="K19" s="85"/>
      <c r="L19" s="85"/>
      <c r="M19" s="85"/>
    </row>
    <row r="20" spans="1:13" x14ac:dyDescent="0.2">
      <c r="A20">
        <v>2002</v>
      </c>
      <c r="B20" s="85">
        <v>1.7080973994802269</v>
      </c>
      <c r="C20" s="85">
        <v>1.8542904841402346</v>
      </c>
      <c r="D20" s="85">
        <v>2.3498090156819624</v>
      </c>
      <c r="E20" s="85">
        <v>2.5197406861548979</v>
      </c>
      <c r="F20" s="2">
        <f t="shared" si="1"/>
        <v>2.2412800619923652</v>
      </c>
      <c r="G20" s="2">
        <f t="shared" si="0"/>
        <v>2.1870155851475661</v>
      </c>
      <c r="J20" s="85"/>
      <c r="K20" s="85"/>
      <c r="L20" s="85"/>
      <c r="M20" s="85"/>
    </row>
    <row r="21" spans="1:13" x14ac:dyDescent="0.2">
      <c r="A21">
        <v>2003</v>
      </c>
      <c r="B21" s="85">
        <v>1.6751332309520488</v>
      </c>
      <c r="C21" s="85">
        <v>1.79052122514777</v>
      </c>
      <c r="D21" s="85">
        <v>2.3002917124568065</v>
      </c>
      <c r="E21" s="85">
        <v>2.4774246149417012</v>
      </c>
      <c r="F21" s="2">
        <f t="shared" si="1"/>
        <v>2.189412517515426</v>
      </c>
      <c r="G21" s="2">
        <f t="shared" si="0"/>
        <v>2.1339729200447355</v>
      </c>
      <c r="J21" s="85"/>
      <c r="K21" s="85"/>
      <c r="L21" s="85"/>
      <c r="M21" s="85"/>
    </row>
    <row r="22" spans="1:13" x14ac:dyDescent="0.2">
      <c r="A22">
        <v>2004</v>
      </c>
      <c r="B22" s="85">
        <v>1.6312740609586438</v>
      </c>
      <c r="C22" s="85">
        <v>1.7391231732776615</v>
      </c>
      <c r="D22" s="85">
        <v>2.095631398049234</v>
      </c>
      <c r="E22" s="85">
        <v>2.3858419851208348</v>
      </c>
      <c r="F22" s="2">
        <f t="shared" si="1"/>
        <v>2.0735321854825766</v>
      </c>
      <c r="G22" s="2">
        <f t="shared" si="0"/>
        <v>2.0624825791992483</v>
      </c>
      <c r="J22" s="85"/>
      <c r="K22" s="85"/>
      <c r="L22" s="85"/>
      <c r="M22" s="85"/>
    </row>
    <row r="23" spans="1:13" x14ac:dyDescent="0.2">
      <c r="A23">
        <v>2005</v>
      </c>
      <c r="B23" s="85">
        <v>1.5816414831164449</v>
      </c>
      <c r="C23" s="85">
        <v>1.6833341752967916</v>
      </c>
      <c r="D23" s="85">
        <v>1.9957266230893989</v>
      </c>
      <c r="E23" s="85">
        <v>2.2928196811581327</v>
      </c>
      <c r="F23" s="2">
        <f t="shared" si="1"/>
        <v>1.9906268265147744</v>
      </c>
      <c r="G23" s="2">
        <f t="shared" si="0"/>
        <v>1.9880769282274622</v>
      </c>
      <c r="J23" s="85"/>
      <c r="K23" s="85"/>
      <c r="L23" s="85"/>
      <c r="M23" s="85"/>
    </row>
    <row r="24" spans="1:13" x14ac:dyDescent="0.2">
      <c r="A24">
        <v>2006</v>
      </c>
      <c r="B24" s="85">
        <v>1.5342735134234977</v>
      </c>
      <c r="C24" s="85">
        <v>1.6286217008797654</v>
      </c>
      <c r="D24" s="85">
        <v>1.8774353691802672</v>
      </c>
      <c r="E24" s="85">
        <v>2.1163260400868955</v>
      </c>
      <c r="F24" s="2">
        <f t="shared" si="1"/>
        <v>1.8741277033823094</v>
      </c>
      <c r="G24" s="2">
        <f t="shared" si="0"/>
        <v>1.8724738704833306</v>
      </c>
      <c r="J24" s="85"/>
      <c r="K24" s="85"/>
      <c r="L24" s="85"/>
      <c r="M24" s="85"/>
    </row>
    <row r="25" spans="1:13" x14ac:dyDescent="0.2">
      <c r="A25">
        <v>2007</v>
      </c>
      <c r="B25" s="85">
        <v>1.4938223763832508</v>
      </c>
      <c r="C25" s="85">
        <v>1.5673377234242709</v>
      </c>
      <c r="D25" s="85">
        <v>1.8473704381056368</v>
      </c>
      <c r="E25" s="85">
        <v>1.9426595831138538</v>
      </c>
      <c r="F25" s="2">
        <f t="shared" si="1"/>
        <v>1.7857892482145872</v>
      </c>
      <c r="G25" s="2">
        <f t="shared" si="0"/>
        <v>1.7549986532690625</v>
      </c>
      <c r="J25" s="85"/>
      <c r="K25" s="85"/>
      <c r="L25" s="85"/>
      <c r="M25" s="85"/>
    </row>
    <row r="26" spans="1:13" x14ac:dyDescent="0.2">
      <c r="A26">
        <v>2008</v>
      </c>
      <c r="B26" s="85">
        <v>1.4654662065243631</v>
      </c>
      <c r="C26" s="85">
        <v>1.5132425068119892</v>
      </c>
      <c r="D26" s="85">
        <v>1.7226084757985836</v>
      </c>
      <c r="E26" s="85">
        <v>1.8946134742404235</v>
      </c>
      <c r="F26" s="2">
        <f t="shared" si="1"/>
        <v>1.7101548189503319</v>
      </c>
      <c r="G26" s="2">
        <f t="shared" si="0"/>
        <v>1.7039279905262064</v>
      </c>
      <c r="J26" s="85"/>
      <c r="K26" s="85"/>
      <c r="L26" s="85"/>
      <c r="M26" s="85"/>
    </row>
    <row r="27" spans="1:13" x14ac:dyDescent="0.2">
      <c r="A27">
        <v>2009</v>
      </c>
      <c r="B27" s="85">
        <v>1.4565465062771543</v>
      </c>
      <c r="C27" s="85">
        <v>1.4969272237196765</v>
      </c>
      <c r="D27" s="85">
        <v>1.7887780097793047</v>
      </c>
      <c r="E27" s="85">
        <v>1.8701827875977977</v>
      </c>
      <c r="F27" s="2">
        <f t="shared" si="1"/>
        <v>1.7186293403655928</v>
      </c>
      <c r="G27" s="2">
        <f t="shared" si="0"/>
        <v>1.6835550056587372</v>
      </c>
      <c r="J27" s="85"/>
      <c r="K27" s="85"/>
      <c r="L27" s="85"/>
      <c r="M27" s="85"/>
    </row>
    <row r="28" spans="1:13" x14ac:dyDescent="0.2">
      <c r="A28">
        <v>2010</v>
      </c>
      <c r="B28" s="85">
        <v>1.4391051953340734</v>
      </c>
      <c r="C28" s="85">
        <v>1.4809600000000001</v>
      </c>
      <c r="D28" s="85">
        <v>1.7398050385604107</v>
      </c>
      <c r="E28" s="85">
        <v>1.8817700415482179</v>
      </c>
      <c r="F28" s="2">
        <f t="shared" si="1"/>
        <v>1.7008450267028763</v>
      </c>
      <c r="G28" s="2">
        <f t="shared" si="0"/>
        <v>1.6813650207741091</v>
      </c>
      <c r="J28" s="85"/>
      <c r="K28" s="85"/>
      <c r="L28" s="85"/>
      <c r="M28" s="85"/>
    </row>
    <row r="29" spans="1:13" x14ac:dyDescent="0.2">
      <c r="A29">
        <v>2011</v>
      </c>
      <c r="B29" s="85">
        <v>1.410005547766819</v>
      </c>
      <c r="C29" s="85">
        <v>1.46532981530343</v>
      </c>
      <c r="D29" s="85">
        <v>1.682496357986327</v>
      </c>
      <c r="E29" s="85">
        <v>1.804179411559159</v>
      </c>
      <c r="F29" s="2">
        <f t="shared" si="1"/>
        <v>1.6506685282829718</v>
      </c>
      <c r="G29" s="2">
        <f t="shared" si="0"/>
        <v>1.6347546134312945</v>
      </c>
      <c r="J29" s="85"/>
      <c r="K29" s="85"/>
      <c r="L29" s="85"/>
      <c r="M29" s="85"/>
    </row>
    <row r="30" spans="1:13" x14ac:dyDescent="0.2">
      <c r="A30">
        <v>2012</v>
      </c>
      <c r="B30" s="85">
        <v>1.3842025680512111</v>
      </c>
      <c r="C30" s="85">
        <v>1.4424935064935065</v>
      </c>
      <c r="D30" s="85">
        <v>1.6440766670715414</v>
      </c>
      <c r="E30" s="85">
        <v>1.6867141354415081</v>
      </c>
      <c r="F30" s="2">
        <f t="shared" si="1"/>
        <v>1.591094769668852</v>
      </c>
      <c r="G30" s="2">
        <f t="shared" si="0"/>
        <v>1.5646038209675073</v>
      </c>
      <c r="J30" s="85"/>
      <c r="K30" s="85"/>
      <c r="L30" s="85"/>
      <c r="M30" s="85"/>
    </row>
    <row r="31" spans="1:13" x14ac:dyDescent="0.2">
      <c r="A31">
        <v>2013</v>
      </c>
      <c r="B31" s="85">
        <v>1.3610697788529236</v>
      </c>
      <c r="C31" s="85">
        <v>1.413129770992366</v>
      </c>
      <c r="D31" s="85">
        <v>1.6169732648429098</v>
      </c>
      <c r="E31" s="85">
        <v>1.6270248440158814</v>
      </c>
      <c r="F31" s="2">
        <f t="shared" si="1"/>
        <v>1.5523759599503857</v>
      </c>
      <c r="G31" s="2">
        <f t="shared" si="0"/>
        <v>1.5200773075041236</v>
      </c>
      <c r="J31" s="85"/>
      <c r="K31" s="85"/>
      <c r="L31" s="85"/>
      <c r="M31" s="85"/>
    </row>
    <row r="32" spans="1:13" x14ac:dyDescent="0.2">
      <c r="A32">
        <v>2014</v>
      </c>
      <c r="B32" s="85">
        <v>1.3377880342057635</v>
      </c>
      <c r="C32" s="85">
        <v>1.3930434782608698</v>
      </c>
      <c r="D32" s="85">
        <v>1.5779532758218697</v>
      </c>
      <c r="E32" s="85">
        <v>1.5664099993932403</v>
      </c>
      <c r="F32" s="2">
        <f t="shared" si="1"/>
        <v>1.5124689178253268</v>
      </c>
      <c r="G32" s="2">
        <f t="shared" si="0"/>
        <v>1.479726738827055</v>
      </c>
      <c r="J32" s="85"/>
      <c r="K32" s="85"/>
      <c r="L32" s="85"/>
      <c r="M32" s="85"/>
    </row>
    <row r="33" spans="1:13" x14ac:dyDescent="0.2">
      <c r="A33">
        <v>2015</v>
      </c>
      <c r="B33" s="85">
        <v>1.3254431765050427</v>
      </c>
      <c r="C33" s="85">
        <v>1.3645208845208845</v>
      </c>
      <c r="D33" s="85">
        <v>1.5846653502439025</v>
      </c>
      <c r="E33" s="85">
        <v>1.5228434272231235</v>
      </c>
      <c r="F33" s="2">
        <f t="shared" si="1"/>
        <v>1.4906765539959703</v>
      </c>
      <c r="G33" s="2">
        <f t="shared" si="0"/>
        <v>1.4436821558720041</v>
      </c>
      <c r="J33" s="85"/>
      <c r="K33" s="85"/>
      <c r="L33" s="85"/>
      <c r="M33" s="85"/>
    </row>
    <row r="34" spans="1:13" x14ac:dyDescent="0.2">
      <c r="A34">
        <v>2016</v>
      </c>
      <c r="B34" s="85">
        <v>1.3129865046787002</v>
      </c>
      <c r="C34" s="85">
        <v>1.3360705693664796</v>
      </c>
      <c r="D34" s="85">
        <v>1.5820722951649981</v>
      </c>
      <c r="E34" s="85">
        <v>1.5002326359832638</v>
      </c>
      <c r="F34" s="2">
        <f t="shared" si="1"/>
        <v>1.4727918335049139</v>
      </c>
      <c r="G34" s="2">
        <f t="shared" si="0"/>
        <v>1.4181516026748717</v>
      </c>
      <c r="J34" s="85"/>
      <c r="K34" s="85"/>
      <c r="L34" s="85"/>
      <c r="M34" s="85"/>
    </row>
    <row r="35" spans="1:13" x14ac:dyDescent="0.2">
      <c r="A35">
        <v>2017</v>
      </c>
      <c r="B35" s="85">
        <v>1.2899128956447818</v>
      </c>
      <c r="C35" s="85">
        <v>1.3036619718309856</v>
      </c>
      <c r="D35" s="85">
        <v>1.5267530022182951</v>
      </c>
      <c r="E35" s="85">
        <v>1.4653613282247768</v>
      </c>
      <c r="F35" s="2">
        <f t="shared" si="1"/>
        <v>1.4319254340913525</v>
      </c>
      <c r="G35" s="2">
        <f t="shared" si="0"/>
        <v>1.3845116500278811</v>
      </c>
      <c r="J35" s="85"/>
      <c r="K35" s="85"/>
      <c r="L35" s="85"/>
      <c r="M35" s="85"/>
    </row>
    <row r="36" spans="1:13" x14ac:dyDescent="0.2">
      <c r="A36">
        <v>2018</v>
      </c>
      <c r="B36" s="85">
        <v>1.2609998753516423</v>
      </c>
      <c r="C36" s="85">
        <v>1.2689108910891089</v>
      </c>
      <c r="D36" s="85">
        <v>1.4353852810180274</v>
      </c>
      <c r="E36" s="85">
        <v>1.4135685922356678</v>
      </c>
      <c r="F36" s="2">
        <f t="shared" si="1"/>
        <v>1.372621588114268</v>
      </c>
      <c r="G36" s="2">
        <f t="shared" si="0"/>
        <v>1.3412397416623882</v>
      </c>
      <c r="J36" s="85"/>
      <c r="K36" s="85"/>
      <c r="L36" s="85"/>
      <c r="M36" s="85"/>
    </row>
    <row r="37" spans="1:13" x14ac:dyDescent="0.2">
      <c r="A37">
        <v>2019</v>
      </c>
      <c r="B37" s="85">
        <v>1.2401941276155908</v>
      </c>
      <c r="C37" s="85">
        <v>1.2304874446085676</v>
      </c>
      <c r="D37" s="85">
        <v>1.4355375119312761</v>
      </c>
      <c r="E37" s="85">
        <v>1.3779926445861912</v>
      </c>
      <c r="F37" s="2">
        <f t="shared" si="1"/>
        <v>1.3480058670420119</v>
      </c>
      <c r="G37" s="2">
        <f t="shared" si="0"/>
        <v>1.3042400445973794</v>
      </c>
      <c r="J37" s="85"/>
      <c r="K37" s="85"/>
      <c r="L37" s="85"/>
      <c r="M37" s="85"/>
    </row>
    <row r="38" spans="1:13" x14ac:dyDescent="0.2">
      <c r="A38">
        <v>2020</v>
      </c>
      <c r="B38" s="85">
        <v>1.224159975703738</v>
      </c>
      <c r="C38" s="85">
        <v>1.1968965517241377</v>
      </c>
      <c r="D38" s="85">
        <v>1.4147811859800681</v>
      </c>
      <c r="E38" s="85">
        <v>1.3590946670176363</v>
      </c>
      <c r="F38" s="2">
        <f t="shared" si="1"/>
        <v>1.3235908015739473</v>
      </c>
      <c r="G38" s="2">
        <f t="shared" si="0"/>
        <v>1.2779956093708869</v>
      </c>
      <c r="J38" s="85"/>
      <c r="K38" s="85"/>
      <c r="L38" s="85"/>
      <c r="M38" s="85"/>
    </row>
    <row r="39" spans="1:13" x14ac:dyDescent="0.2">
      <c r="A39">
        <v>2021</v>
      </c>
      <c r="B39" s="85">
        <v>1.1706180273675468</v>
      </c>
      <c r="C39" s="85">
        <v>1.1618410041841003</v>
      </c>
      <c r="D39" s="85">
        <v>1.1152862890567385</v>
      </c>
      <c r="E39" s="85">
        <v>1.2994960627780956</v>
      </c>
      <c r="F39" s="2">
        <f t="shared" si="1"/>
        <v>1.1922077853396449</v>
      </c>
      <c r="G39" s="2">
        <f t="shared" si="0"/>
        <v>1.2306685334810981</v>
      </c>
      <c r="J39" s="85"/>
      <c r="K39" s="85"/>
      <c r="L39" s="85"/>
      <c r="M39" s="85"/>
    </row>
    <row r="40" spans="1:13" x14ac:dyDescent="0.2">
      <c r="A40">
        <v>2022</v>
      </c>
      <c r="B40" s="85">
        <v>1.0934138655239569</v>
      </c>
      <c r="C40" s="85">
        <v>1.1166756032171583</v>
      </c>
      <c r="D40" s="85">
        <v>0.99080274028956195</v>
      </c>
      <c r="E40" s="85">
        <v>1.1498296122510112</v>
      </c>
      <c r="F40" s="2">
        <f t="shared" si="1"/>
        <v>1.0857693185859105</v>
      </c>
      <c r="G40" s="2">
        <f t="shared" si="0"/>
        <v>1.1332526077340848</v>
      </c>
      <c r="J40" s="85"/>
      <c r="K40" s="85"/>
      <c r="L40" s="85"/>
      <c r="M40" s="85"/>
    </row>
    <row r="41" spans="1:13" x14ac:dyDescent="0.2">
      <c r="A41">
        <v>2023</v>
      </c>
      <c r="B41" s="85">
        <v>1.0549612726454833</v>
      </c>
      <c r="C41" s="85">
        <v>1.0707455012853477</v>
      </c>
      <c r="D41" s="85">
        <v>1.0199168133484435</v>
      </c>
      <c r="E41" s="85">
        <v>1.0652117467060798</v>
      </c>
      <c r="F41" s="2">
        <f t="shared" si="1"/>
        <v>1.0519580204466237</v>
      </c>
      <c r="G41" s="2">
        <f t="shared" si="0"/>
        <v>1.0679786239957139</v>
      </c>
      <c r="J41" s="85"/>
      <c r="K41" s="85"/>
      <c r="L41" s="85"/>
      <c r="M41" s="85"/>
    </row>
    <row r="42" spans="1:13" x14ac:dyDescent="0.2">
      <c r="A42">
        <v>2024</v>
      </c>
      <c r="B42" s="85">
        <v>1.03</v>
      </c>
      <c r="C42" s="85">
        <v>1.04</v>
      </c>
      <c r="D42" s="85">
        <v>1.03</v>
      </c>
      <c r="E42" s="85">
        <v>1.06</v>
      </c>
      <c r="F42" s="2">
        <f t="shared" si="1"/>
        <v>1.0433333333333334</v>
      </c>
      <c r="G42" s="2">
        <f t="shared" si="0"/>
        <v>1.05</v>
      </c>
      <c r="J42" s="85"/>
      <c r="K42" s="85"/>
      <c r="L42" s="85"/>
      <c r="M42" s="85"/>
    </row>
    <row r="43" spans="1:13" x14ac:dyDescent="0.2">
      <c r="A43">
        <v>2025</v>
      </c>
      <c r="B43" s="85">
        <v>1</v>
      </c>
      <c r="C43" s="85">
        <v>1</v>
      </c>
      <c r="D43" s="85">
        <v>1</v>
      </c>
      <c r="E43" s="85">
        <v>1</v>
      </c>
      <c r="F43" s="2">
        <f t="shared" si="1"/>
        <v>1</v>
      </c>
      <c r="G43" s="2">
        <f t="shared" si="0"/>
        <v>1</v>
      </c>
      <c r="J43" s="85"/>
      <c r="K43" s="85"/>
      <c r="L43" s="85"/>
      <c r="M43" s="85"/>
    </row>
  </sheetData>
  <pageMargins left="0.7" right="0.7" top="0.75" bottom="0.75" header="0.3" footer="0.3"/>
  <pageSetup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7"/>
  <sheetViews>
    <sheetView zoomScale="164" workbookViewId="0">
      <selection activeCell="B18" sqref="B18"/>
    </sheetView>
  </sheetViews>
  <sheetFormatPr baseColWidth="10" defaultColWidth="11.5" defaultRowHeight="15" x14ac:dyDescent="0.2"/>
  <cols>
    <col min="1" max="1" width="27.5" customWidth="1"/>
    <col min="2" max="2" width="13.33203125" customWidth="1"/>
  </cols>
  <sheetData>
    <row r="1" spans="1:5" s="34" customFormat="1" x14ac:dyDescent="0.2">
      <c r="A1" s="34" t="s">
        <v>548</v>
      </c>
      <c r="B1" s="34" t="s">
        <v>468</v>
      </c>
      <c r="C1" s="34" t="s">
        <v>549</v>
      </c>
      <c r="D1" s="34" t="s">
        <v>550</v>
      </c>
      <c r="E1" s="34" t="s">
        <v>21</v>
      </c>
    </row>
    <row r="2" spans="1:5" x14ac:dyDescent="0.2">
      <c r="A2" t="s">
        <v>551</v>
      </c>
      <c r="B2" s="2">
        <v>6.5389932052543287E-2</v>
      </c>
    </row>
    <row r="3" spans="1:5" x14ac:dyDescent="0.2">
      <c r="A3" t="s">
        <v>552</v>
      </c>
      <c r="B3">
        <v>5</v>
      </c>
    </row>
    <row r="4" spans="1:5" x14ac:dyDescent="0.2">
      <c r="A4" t="s">
        <v>553</v>
      </c>
      <c r="B4">
        <v>5</v>
      </c>
    </row>
    <row r="5" spans="1:5" x14ac:dyDescent="0.2">
      <c r="A5" t="s">
        <v>554</v>
      </c>
      <c r="B5">
        <v>5</v>
      </c>
    </row>
    <row r="6" spans="1:5" x14ac:dyDescent="0.2">
      <c r="A6" t="s">
        <v>555</v>
      </c>
      <c r="B6">
        <v>1800</v>
      </c>
    </row>
    <row r="7" spans="1:5" x14ac:dyDescent="0.2">
      <c r="A7" t="s">
        <v>556</v>
      </c>
      <c r="B7">
        <v>10</v>
      </c>
    </row>
    <row r="8" spans="1:5" x14ac:dyDescent="0.2">
      <c r="A8" t="s">
        <v>557</v>
      </c>
      <c r="B8">
        <v>0.03</v>
      </c>
    </row>
    <row r="9" spans="1:5" x14ac:dyDescent="0.2">
      <c r="A9" t="s">
        <v>77</v>
      </c>
      <c r="B9">
        <v>0.08</v>
      </c>
      <c r="C9" s="158" t="s">
        <v>558</v>
      </c>
      <c r="D9" s="158" t="s">
        <v>559</v>
      </c>
      <c r="E9" s="158" t="s">
        <v>560</v>
      </c>
    </row>
    <row r="10" spans="1:5" ht="15" customHeight="1" x14ac:dyDescent="0.2">
      <c r="A10" s="3" t="s">
        <v>43</v>
      </c>
      <c r="B10">
        <v>0</v>
      </c>
      <c r="C10" s="159"/>
      <c r="D10" s="159"/>
      <c r="E10" s="159"/>
    </row>
    <row r="11" spans="1:5" x14ac:dyDescent="0.2">
      <c r="A11" s="3" t="s">
        <v>59</v>
      </c>
      <c r="B11">
        <v>0</v>
      </c>
      <c r="C11" s="159"/>
      <c r="D11" s="159"/>
      <c r="E11" s="159"/>
    </row>
    <row r="12" spans="1:5" x14ac:dyDescent="0.2">
      <c r="A12" s="3" t="s">
        <v>191</v>
      </c>
      <c r="B12">
        <v>0.18443169820109739</v>
      </c>
      <c r="C12" s="159"/>
      <c r="D12" s="159"/>
      <c r="E12" s="159"/>
    </row>
    <row r="13" spans="1:5" x14ac:dyDescent="0.2">
      <c r="A13" s="3" t="s">
        <v>213</v>
      </c>
      <c r="B13">
        <v>0.24138000000000001</v>
      </c>
      <c r="C13" s="159"/>
      <c r="D13" s="159"/>
      <c r="E13" s="159"/>
    </row>
    <row r="14" spans="1:5" x14ac:dyDescent="0.2">
      <c r="A14" s="3" t="s">
        <v>157</v>
      </c>
      <c r="B14" s="85">
        <v>0.22962848022115531</v>
      </c>
      <c r="C14" s="159"/>
      <c r="D14" s="159"/>
      <c r="E14" s="159"/>
    </row>
    <row r="15" spans="1:5" x14ac:dyDescent="0.2">
      <c r="A15" s="3" t="s">
        <v>228</v>
      </c>
      <c r="B15">
        <v>0.41505377678599259</v>
      </c>
      <c r="C15" s="159"/>
      <c r="D15" s="159"/>
      <c r="E15" s="159"/>
    </row>
    <row r="16" spans="1:5" x14ac:dyDescent="0.2">
      <c r="A16" s="3" t="s">
        <v>226</v>
      </c>
      <c r="B16">
        <v>0.39914905811401719</v>
      </c>
      <c r="C16" s="159"/>
      <c r="D16" s="159"/>
      <c r="E16" s="159"/>
    </row>
    <row r="17" spans="1:5" x14ac:dyDescent="0.2">
      <c r="A17" s="3" t="s">
        <v>336</v>
      </c>
      <c r="B17">
        <v>0.05</v>
      </c>
      <c r="C17" s="159"/>
      <c r="D17" t="s">
        <v>561</v>
      </c>
      <c r="E17" t="s">
        <v>562</v>
      </c>
    </row>
  </sheetData>
  <mergeCells count="3">
    <mergeCell ref="C9:C17"/>
    <mergeCell ref="E9:E16"/>
    <mergeCell ref="D9:D16"/>
  </mergeCell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68"/>
  <sheetViews>
    <sheetView topLeftCell="A128" zoomScale="110" workbookViewId="0">
      <selection activeCell="D131" sqref="D131"/>
    </sheetView>
  </sheetViews>
  <sheetFormatPr baseColWidth="10" defaultColWidth="8.83203125" defaultRowHeight="15" x14ac:dyDescent="0.2"/>
  <cols>
    <col min="1" max="1" width="8.6640625" customWidth="1"/>
    <col min="2" max="2" width="4.6640625" customWidth="1"/>
    <col min="3" max="3" width="32.6640625" customWidth="1"/>
    <col min="4" max="4" width="44.6640625" customWidth="1"/>
    <col min="5" max="5" width="13.33203125" customWidth="1"/>
    <col min="6" max="8" width="13.6640625" customWidth="1"/>
    <col min="10" max="10" width="13.6640625" customWidth="1"/>
    <col min="11" max="11" width="19.6640625" customWidth="1"/>
    <col min="12" max="12" width="10" customWidth="1"/>
    <col min="13" max="13" width="15.6640625" customWidth="1"/>
    <col min="14" max="14" width="8.6640625" customWidth="1"/>
    <col min="15" max="15" width="7.33203125" customWidth="1"/>
    <col min="16" max="16" width="7.6640625" customWidth="1"/>
    <col min="17" max="17" width="8.1640625" customWidth="1"/>
    <col min="18" max="18" width="10.6640625" customWidth="1"/>
    <col min="19" max="19" width="29" customWidth="1"/>
    <col min="20" max="20" width="98.6640625" customWidth="1"/>
    <col min="21" max="21" width="81.1640625" customWidth="1"/>
    <col min="22" max="22" width="116.83203125" customWidth="1"/>
    <col min="23" max="23" width="21.5" customWidth="1"/>
    <col min="24" max="24" width="16.6640625" customWidth="1"/>
    <col min="25" max="25" width="13.5" customWidth="1"/>
    <col min="26" max="26" width="16.1640625" customWidth="1"/>
    <col min="27" max="27" width="16.6640625" customWidth="1"/>
    <col min="28" max="28" width="11" bestFit="1" customWidth="1"/>
    <col min="29" max="29" width="12.5" customWidth="1"/>
    <col min="30" max="30" width="6.6640625" customWidth="1"/>
    <col min="33" max="33" width="16.1640625" customWidth="1"/>
    <col min="34" max="34" width="10.6640625" customWidth="1"/>
  </cols>
  <sheetData>
    <row r="1" spans="1:33" ht="38.25" customHeight="1" x14ac:dyDescent="0.2">
      <c r="A1" s="90" t="s">
        <v>0</v>
      </c>
      <c r="B1" s="91" t="s">
        <v>1</v>
      </c>
      <c r="C1" s="90" t="s">
        <v>2</v>
      </c>
      <c r="D1" s="91" t="s">
        <v>3</v>
      </c>
      <c r="E1" s="91" t="s">
        <v>4</v>
      </c>
      <c r="F1" s="91" t="s">
        <v>563</v>
      </c>
      <c r="G1" s="92" t="s">
        <v>564</v>
      </c>
      <c r="H1" s="91" t="s">
        <v>5</v>
      </c>
      <c r="I1" s="91" t="s">
        <v>6</v>
      </c>
      <c r="J1" s="90" t="s">
        <v>9</v>
      </c>
      <c r="K1" s="90" t="s">
        <v>10</v>
      </c>
      <c r="L1" s="90" t="s">
        <v>11</v>
      </c>
      <c r="M1" s="93" t="s">
        <v>12</v>
      </c>
      <c r="N1" s="90" t="s">
        <v>13</v>
      </c>
      <c r="O1" s="90" t="s">
        <v>14</v>
      </c>
      <c r="P1" s="90" t="s">
        <v>15</v>
      </c>
      <c r="Q1" s="90" t="s">
        <v>16</v>
      </c>
      <c r="R1" s="90" t="s">
        <v>17</v>
      </c>
      <c r="S1" s="90" t="s">
        <v>18</v>
      </c>
      <c r="T1" s="90" t="s">
        <v>19</v>
      </c>
      <c r="U1" s="90" t="s">
        <v>20</v>
      </c>
      <c r="V1" s="90" t="s">
        <v>21</v>
      </c>
      <c r="W1" s="94" t="s">
        <v>22</v>
      </c>
      <c r="X1" s="94" t="s">
        <v>23</v>
      </c>
      <c r="Y1" s="94" t="s">
        <v>24</v>
      </c>
      <c r="Z1" s="94" t="s">
        <v>25</v>
      </c>
      <c r="AA1" s="94" t="s">
        <v>26</v>
      </c>
      <c r="AB1" s="94" t="s">
        <v>27</v>
      </c>
      <c r="AC1" s="94" t="s">
        <v>28</v>
      </c>
      <c r="AD1" s="94" t="s">
        <v>29</v>
      </c>
      <c r="AE1" s="94" t="s">
        <v>30</v>
      </c>
      <c r="AF1" s="94" t="s">
        <v>31</v>
      </c>
      <c r="AG1" s="94" t="s">
        <v>32</v>
      </c>
    </row>
    <row r="2" spans="1:33" x14ac:dyDescent="0.2">
      <c r="A2" s="93">
        <v>10</v>
      </c>
      <c r="B2" s="95">
        <f>IF(ISNUMBER(A2),
    IF(AND(A2=INT(A2), MOD(A2, 10) = 0), 0,
        IF(AND(A2=INT(A2), LEN(A2)=2), 1,
            IF(AND(A2=INT(A2), LEN(A2)=3), 2,
                LEN(A2) - FIND(".", A2) + 2)
        )
    ),
"")</f>
        <v>0</v>
      </c>
      <c r="C2" s="96" t="s">
        <v>33</v>
      </c>
      <c r="D2" s="96" t="str">
        <f t="shared" ref="D2:D33" si="0">REPT("   ", B2*2) &amp; C2</f>
        <v>Capitalized Pre-Construction Costs</v>
      </c>
      <c r="E2" s="96"/>
      <c r="F2" s="96"/>
      <c r="G2" s="97"/>
      <c r="H2" s="96"/>
      <c r="I2" s="96"/>
      <c r="J2" s="98"/>
      <c r="K2" s="98"/>
      <c r="L2" s="95"/>
      <c r="M2" s="95"/>
      <c r="N2" s="95"/>
      <c r="O2" s="95"/>
      <c r="P2" s="98"/>
      <c r="Q2" s="98"/>
      <c r="R2" s="95"/>
      <c r="S2" s="91"/>
      <c r="T2" s="95"/>
      <c r="U2" s="95"/>
      <c r="V2" s="95"/>
      <c r="W2" s="99"/>
      <c r="X2" s="100"/>
      <c r="Y2" s="100"/>
      <c r="Z2" s="99"/>
      <c r="AA2" s="100"/>
      <c r="AB2" s="100"/>
      <c r="AC2" s="99"/>
      <c r="AD2" s="100"/>
      <c r="AE2" s="100"/>
      <c r="AF2" s="100"/>
      <c r="AG2" s="99"/>
    </row>
    <row r="3" spans="1:33" ht="38.25" customHeight="1" x14ac:dyDescent="0.2">
      <c r="A3" s="93">
        <v>11</v>
      </c>
      <c r="B3" s="95">
        <f>IF(ISNUMBER(A3),
    IF(AND(A3=INT(A3), MOD(A3, 10) = 0), 0,
        IF(AND(A3=INT(A3), LEN(A3)=2), 1,
            IF(AND(A3=INT(A3), LEN(A3)=3), 2,
                LEN(A3) - FIND(".", A3) + 2)
        )
    ),
"")</f>
        <v>1</v>
      </c>
      <c r="C3" s="101" t="s">
        <v>34</v>
      </c>
      <c r="D3" s="96" t="str">
        <f t="shared" si="0"/>
        <v xml:space="preserve">      Land Cost</v>
      </c>
      <c r="E3" s="96" t="s">
        <v>35</v>
      </c>
      <c r="F3" s="96" t="s">
        <v>565</v>
      </c>
      <c r="G3" s="97">
        <v>1</v>
      </c>
      <c r="H3" s="96"/>
      <c r="I3" s="96"/>
      <c r="J3" s="102"/>
      <c r="K3" s="102">
        <v>3800</v>
      </c>
      <c r="L3" s="103" t="s">
        <v>36</v>
      </c>
      <c r="M3" s="103" t="s">
        <v>37</v>
      </c>
      <c r="N3" s="104"/>
      <c r="O3" s="103" t="s">
        <v>38</v>
      </c>
      <c r="P3" s="105"/>
      <c r="Q3" s="105">
        <v>2022</v>
      </c>
      <c r="R3" s="103" t="s">
        <v>39</v>
      </c>
      <c r="S3" s="106" t="s">
        <v>40</v>
      </c>
      <c r="T3" s="160" t="s">
        <v>41</v>
      </c>
      <c r="U3" s="163" t="s">
        <v>42</v>
      </c>
      <c r="V3" s="108"/>
      <c r="W3" s="99" t="s">
        <v>43</v>
      </c>
      <c r="X3" s="109">
        <f>0.9*$J3</f>
        <v>0</v>
      </c>
      <c r="Y3" s="109">
        <f>1.5*J3</f>
        <v>0</v>
      </c>
      <c r="Z3" s="99" t="s">
        <v>44</v>
      </c>
      <c r="AA3" s="100">
        <f>0.9*K3</f>
        <v>3420</v>
      </c>
      <c r="AB3" s="100">
        <f>1.3*K3</f>
        <v>4940</v>
      </c>
      <c r="AC3" s="99" t="s">
        <v>44</v>
      </c>
      <c r="AD3" s="100" t="s">
        <v>45</v>
      </c>
      <c r="AE3" s="100" t="s">
        <v>46</v>
      </c>
      <c r="AF3" s="100" t="s">
        <v>47</v>
      </c>
      <c r="AG3" s="99" t="s">
        <v>48</v>
      </c>
    </row>
    <row r="4" spans="1:33" x14ac:dyDescent="0.2">
      <c r="A4" s="93">
        <v>12</v>
      </c>
      <c r="B4" s="95">
        <f>IF(ISNUMBER(A4),
IF(AND(A4=INT(A4), MOD(A4, 10) = 0), 0,
IF(AND(A4=INT(A4), LEN(A4)=2), 1,
IF(AND(A4=INT(A4), LEN(A4)=3), 2,
LEN(A4) - FIND(".", A4) + 2)
)
),
"")</f>
        <v>1</v>
      </c>
      <c r="C4" s="101" t="s">
        <v>49</v>
      </c>
      <c r="D4" s="96" t="str">
        <f t="shared" si="0"/>
        <v xml:space="preserve">      Site Permits</v>
      </c>
      <c r="E4" s="96" t="s">
        <v>35</v>
      </c>
      <c r="F4" s="96" t="s">
        <v>565</v>
      </c>
      <c r="G4" s="97">
        <v>1</v>
      </c>
      <c r="H4" s="96"/>
      <c r="I4" s="96"/>
      <c r="J4" s="102"/>
      <c r="K4" s="102">
        <f>10.03*1000</f>
        <v>10030</v>
      </c>
      <c r="L4" s="103" t="s">
        <v>50</v>
      </c>
      <c r="M4" s="103" t="s">
        <v>51</v>
      </c>
      <c r="N4" s="104"/>
      <c r="O4" s="103" t="s">
        <v>52</v>
      </c>
      <c r="P4" s="105"/>
      <c r="Q4" s="105">
        <v>2022</v>
      </c>
      <c r="R4" s="103" t="s">
        <v>53</v>
      </c>
      <c r="S4" s="106" t="s">
        <v>54</v>
      </c>
      <c r="T4" s="152"/>
      <c r="U4" s="152"/>
      <c r="V4" s="108"/>
      <c r="W4" s="99" t="s">
        <v>43</v>
      </c>
      <c r="X4" s="109">
        <f>0.9*$J4</f>
        <v>0</v>
      </c>
      <c r="Y4" s="109">
        <f>1.5*J4</f>
        <v>0</v>
      </c>
      <c r="Z4" s="99" t="s">
        <v>44</v>
      </c>
      <c r="AA4" s="100">
        <f>0.9*K4</f>
        <v>9027</v>
      </c>
      <c r="AB4" s="100">
        <f>1.3*K4</f>
        <v>13039</v>
      </c>
      <c r="AC4" s="99" t="s">
        <v>44</v>
      </c>
      <c r="AD4" s="100" t="s">
        <v>45</v>
      </c>
      <c r="AE4" s="100" t="s">
        <v>46</v>
      </c>
      <c r="AF4" s="100" t="s">
        <v>47</v>
      </c>
      <c r="AG4" s="99" t="s">
        <v>48</v>
      </c>
    </row>
    <row r="5" spans="1:33" x14ac:dyDescent="0.2">
      <c r="A5" s="93">
        <v>13</v>
      </c>
      <c r="B5" s="95">
        <f>IF(ISNUMBER(A5),
IF(AND(A5=INT(A5), MOD(A5, 10) = 0), 0,
IF(AND(A5=INT(A5), LEN(A5)=2), 1,
IF(AND(A5=INT(A5), LEN(A5)=3), 2,
LEN(A5) - FIND(".", A5) + 2)
)
),
"")</f>
        <v>1</v>
      </c>
      <c r="C5" s="101" t="s">
        <v>55</v>
      </c>
      <c r="D5" s="96" t="str">
        <f t="shared" si="0"/>
        <v xml:space="preserve">      Plant Licensing</v>
      </c>
      <c r="E5" s="96" t="s">
        <v>35</v>
      </c>
      <c r="F5" s="96" t="s">
        <v>565</v>
      </c>
      <c r="G5" s="97">
        <v>1</v>
      </c>
      <c r="H5" s="96"/>
      <c r="I5" s="96"/>
      <c r="J5" s="102">
        <f>1000000*(45+70)/2</f>
        <v>57500000</v>
      </c>
      <c r="K5" s="102"/>
      <c r="L5" s="104"/>
      <c r="M5" s="104"/>
      <c r="N5" s="104"/>
      <c r="O5" s="103"/>
      <c r="P5" s="105"/>
      <c r="Q5" s="105">
        <v>2009</v>
      </c>
      <c r="R5" s="103" t="s">
        <v>53</v>
      </c>
      <c r="S5" s="106" t="s">
        <v>62</v>
      </c>
      <c r="T5" s="160" t="s">
        <v>63</v>
      </c>
      <c r="U5" s="163" t="s">
        <v>58</v>
      </c>
      <c r="V5" s="108"/>
      <c r="W5" s="99" t="s">
        <v>43</v>
      </c>
      <c r="X5" s="109">
        <f>45*1000000</f>
        <v>45000000</v>
      </c>
      <c r="Y5" s="109">
        <f>70*1000000</f>
        <v>70000000</v>
      </c>
      <c r="Z5" s="99" t="s">
        <v>60</v>
      </c>
      <c r="AA5" s="100">
        <f>0.9*K5</f>
        <v>0</v>
      </c>
      <c r="AB5" s="100">
        <f>1.3*K5</f>
        <v>0</v>
      </c>
      <c r="AC5" s="99" t="s">
        <v>44</v>
      </c>
      <c r="AD5" s="100" t="s">
        <v>45</v>
      </c>
      <c r="AE5" s="100" t="s">
        <v>46</v>
      </c>
      <c r="AF5" s="100" t="s">
        <v>47</v>
      </c>
      <c r="AG5" s="99" t="s">
        <v>48</v>
      </c>
    </row>
    <row r="6" spans="1:33" x14ac:dyDescent="0.2">
      <c r="A6" s="93">
        <v>14</v>
      </c>
      <c r="B6" s="95">
        <f>IF(ISNUMBER(A6),
IF(AND(A6=INT(A6), MOD(A6, 10) = 0), 0,
IF(AND(A6=INT(A6), LEN(A6)=2), 1,
IF(AND(A6=INT(A6), LEN(A6)=3), 2,
LEN(A6) - FIND(".", A6) + 2)
)
),
"")</f>
        <v>1</v>
      </c>
      <c r="C6" s="101" t="s">
        <v>61</v>
      </c>
      <c r="D6" s="96" t="str">
        <f t="shared" si="0"/>
        <v xml:space="preserve">      Plant Permits</v>
      </c>
      <c r="E6" s="96" t="s">
        <v>35</v>
      </c>
      <c r="F6" s="96" t="s">
        <v>565</v>
      </c>
      <c r="G6" s="97">
        <v>1</v>
      </c>
      <c r="H6" s="96"/>
      <c r="I6" s="96"/>
      <c r="J6" s="102">
        <v>3000000</v>
      </c>
      <c r="K6" s="102"/>
      <c r="L6" s="104"/>
      <c r="M6" s="104"/>
      <c r="N6" s="104"/>
      <c r="O6" s="103"/>
      <c r="P6" s="105"/>
      <c r="Q6" s="105">
        <v>2009</v>
      </c>
      <c r="R6" s="103" t="s">
        <v>53</v>
      </c>
      <c r="S6" s="106" t="s">
        <v>62</v>
      </c>
      <c r="T6" s="152"/>
      <c r="U6" s="152"/>
      <c r="V6" s="108"/>
      <c r="W6" s="99" t="s">
        <v>43</v>
      </c>
      <c r="X6" s="109">
        <f>0.9*$J6</f>
        <v>2700000</v>
      </c>
      <c r="Y6" s="109">
        <f>1.5*J6</f>
        <v>4500000</v>
      </c>
      <c r="Z6" s="99" t="s">
        <v>44</v>
      </c>
      <c r="AA6" s="100">
        <f>0.9*K6</f>
        <v>0</v>
      </c>
      <c r="AB6" s="100">
        <f>1.3*K6</f>
        <v>0</v>
      </c>
      <c r="AC6" s="99" t="s">
        <v>44</v>
      </c>
      <c r="AD6" s="100" t="s">
        <v>45</v>
      </c>
      <c r="AE6" s="100" t="s">
        <v>46</v>
      </c>
      <c r="AF6" s="100" t="s">
        <v>47</v>
      </c>
      <c r="AG6" s="99" t="s">
        <v>48</v>
      </c>
    </row>
    <row r="7" spans="1:33" ht="102" customHeight="1" x14ac:dyDescent="0.2">
      <c r="A7" s="93">
        <v>15</v>
      </c>
      <c r="B7" s="95">
        <f>IF(ISNUMBER(A7),
IF(AND(A7=INT(A7), MOD(A7, 10) = 0), 0,
IF(AND(A7=INT(A7), LEN(A7)=2), 1,
IF(AND(A7=INT(A7), LEN(A7)=3), 2,
LEN(A7) - FIND(".", A7) + 2)
)
),
"")</f>
        <v>1</v>
      </c>
      <c r="C7" s="101" t="s">
        <v>64</v>
      </c>
      <c r="D7" s="96" t="str">
        <f t="shared" si="0"/>
        <v xml:space="preserve">      Plant Studies</v>
      </c>
      <c r="E7" s="96" t="s">
        <v>35</v>
      </c>
      <c r="F7" s="96" t="s">
        <v>565</v>
      </c>
      <c r="G7" s="97">
        <v>1</v>
      </c>
      <c r="H7" s="96"/>
      <c r="I7" s="96"/>
      <c r="J7" s="102">
        <f>MARVEL_Cost!C4</f>
        <v>5210451</v>
      </c>
      <c r="K7" s="102"/>
      <c r="L7" s="104"/>
      <c r="M7" s="104"/>
      <c r="N7" s="104"/>
      <c r="O7" s="103"/>
      <c r="P7" s="105"/>
      <c r="Q7" s="105">
        <v>2024</v>
      </c>
      <c r="R7" s="103" t="s">
        <v>53</v>
      </c>
      <c r="S7" s="106" t="s">
        <v>65</v>
      </c>
      <c r="T7" s="106" t="s">
        <v>66</v>
      </c>
      <c r="U7" s="108" t="s">
        <v>67</v>
      </c>
      <c r="V7" s="103" t="s">
        <v>68</v>
      </c>
      <c r="W7" s="99" t="s">
        <v>43</v>
      </c>
      <c r="X7" s="109">
        <f>0.9*$J7</f>
        <v>4689405.9000000004</v>
      </c>
      <c r="Y7" s="109">
        <f>1.5*J7</f>
        <v>7815676.5</v>
      </c>
      <c r="Z7" s="99" t="s">
        <v>44</v>
      </c>
      <c r="AA7" s="100">
        <f>0.9*K7</f>
        <v>0</v>
      </c>
      <c r="AB7" s="100">
        <f>1.3*K7</f>
        <v>0</v>
      </c>
      <c r="AC7" s="99" t="s">
        <v>44</v>
      </c>
      <c r="AD7" s="100" t="s">
        <v>45</v>
      </c>
      <c r="AE7" s="100" t="s">
        <v>46</v>
      </c>
      <c r="AF7" s="100" t="s">
        <v>47</v>
      </c>
      <c r="AG7" s="99" t="s">
        <v>48</v>
      </c>
    </row>
    <row r="8" spans="1:33" x14ac:dyDescent="0.2">
      <c r="A8" s="90">
        <v>20</v>
      </c>
      <c r="B8" s="95">
        <f>IF(ISNUMBER(A8),
    IF(AND(A8=INT(A8), MOD(A8, 10) = 0), 0,
        IF(AND(A8=INT(A8), LEN(A8)=2), 1,
            IF(AND(A8=INT(A8), LEN(A8)=3), 2,
                LEN(A8) - FIND(".", A8) + 2)
        )
    ),
"")</f>
        <v>0</v>
      </c>
      <c r="C8" s="101" t="s">
        <v>69</v>
      </c>
      <c r="D8" s="96" t="str">
        <f t="shared" si="0"/>
        <v>Capitalized Direct Costs</v>
      </c>
      <c r="E8" s="96"/>
      <c r="F8" s="96"/>
      <c r="G8" s="97"/>
      <c r="H8" s="96"/>
      <c r="I8" s="96"/>
      <c r="J8" s="102"/>
      <c r="K8" s="110"/>
      <c r="L8" s="90"/>
      <c r="M8" s="93"/>
      <c r="N8" s="90"/>
      <c r="O8" s="90"/>
      <c r="P8" s="111"/>
      <c r="Q8" s="111"/>
      <c r="R8" s="90"/>
      <c r="S8" s="90"/>
      <c r="T8" s="90"/>
      <c r="U8" s="90"/>
      <c r="V8" s="90"/>
      <c r="W8" s="99"/>
      <c r="X8" s="109"/>
      <c r="Y8" s="109"/>
      <c r="Z8" s="99"/>
      <c r="AA8" s="100"/>
      <c r="AB8" s="100"/>
      <c r="AC8" s="99"/>
      <c r="AD8" s="100"/>
      <c r="AE8" s="100"/>
      <c r="AF8" s="100"/>
      <c r="AG8" s="99"/>
    </row>
    <row r="9" spans="1:33" x14ac:dyDescent="0.2">
      <c r="A9" s="93">
        <v>21</v>
      </c>
      <c r="B9" s="95">
        <f>IF(ISNUMBER(A9),
IF(AND(A9=INT(A9), MOD(A9, 10) = 0), 0,
IF(AND(A9=INT(A9), LEN(A9)=2), 1,
IF(AND(A9=INT(A9), LEN(A9)=3), 2,
LEN(A9) - FIND(".", A9) + 2)
)
),
"")</f>
        <v>1</v>
      </c>
      <c r="C9" s="101" t="s">
        <v>70</v>
      </c>
      <c r="D9" s="96" t="str">
        <f t="shared" si="0"/>
        <v xml:space="preserve">      Structures and Improvements</v>
      </c>
      <c r="E9" s="96"/>
      <c r="F9" s="96"/>
      <c r="G9" s="97"/>
      <c r="H9" s="96"/>
      <c r="I9" s="96"/>
      <c r="J9" s="102"/>
      <c r="K9" s="102"/>
      <c r="L9" s="104"/>
      <c r="M9" s="104"/>
      <c r="N9" s="104"/>
      <c r="O9" s="104"/>
      <c r="P9" s="112"/>
      <c r="Q9" s="112"/>
      <c r="R9" s="104"/>
      <c r="S9" s="113"/>
      <c r="T9" s="104"/>
      <c r="U9" s="104"/>
      <c r="V9" s="108"/>
      <c r="W9" s="99"/>
      <c r="X9" s="109"/>
      <c r="Y9" s="109"/>
      <c r="Z9" s="99"/>
      <c r="AA9" s="100"/>
      <c r="AB9" s="100"/>
      <c r="AC9" s="99"/>
      <c r="AD9" s="100"/>
      <c r="AE9" s="100"/>
      <c r="AF9" s="100"/>
      <c r="AG9" s="99"/>
    </row>
    <row r="10" spans="1:33" x14ac:dyDescent="0.2">
      <c r="A10" s="114">
        <v>211</v>
      </c>
      <c r="B10" s="95">
        <f>IF(ISNUMBER(A10),
IF(AND(A10=INT(A10), MOD(A10, 10) = 0), 0,
IF(AND(A10=INT(A10), LEN(A10)=2), 1,
IF(AND(A10=INT(A10), LEN(A10)=3), 2,
LEN(A10) - FIND(".", A10) + 2)
)
),
"")</f>
        <v>2</v>
      </c>
      <c r="C10" s="101" t="s">
        <v>71</v>
      </c>
      <c r="D10" s="96" t="str">
        <f t="shared" si="0"/>
        <v xml:space="preserve">            Site Preparation/ Yard Work</v>
      </c>
      <c r="E10" s="96"/>
      <c r="F10" s="96"/>
      <c r="G10" s="97"/>
      <c r="H10" s="96"/>
      <c r="I10" s="96"/>
      <c r="J10" s="102"/>
      <c r="K10" s="102"/>
      <c r="L10" s="104"/>
      <c r="M10" s="104"/>
      <c r="N10" s="104"/>
      <c r="O10" s="104"/>
      <c r="P10" s="112"/>
      <c r="Q10" s="112"/>
      <c r="R10" s="104"/>
      <c r="S10" s="113"/>
      <c r="T10" s="104"/>
      <c r="U10" s="104"/>
      <c r="V10" s="108"/>
      <c r="W10" s="99"/>
      <c r="X10" s="109"/>
      <c r="Y10" s="109"/>
      <c r="Z10" s="99"/>
      <c r="AA10" s="100"/>
      <c r="AB10" s="100"/>
      <c r="AC10" s="99"/>
      <c r="AD10" s="100"/>
      <c r="AE10" s="100"/>
      <c r="AF10" s="100"/>
      <c r="AG10" s="99"/>
    </row>
    <row r="11" spans="1:33" x14ac:dyDescent="0.2">
      <c r="A11" s="115">
        <v>211.1</v>
      </c>
      <c r="B11" s="95">
        <f>IF(ISNUMBER(A11),
IF(AND(A11=INT(A11), MOD(A11, 10) = 0), 0,
IF(AND(A11=INT(A11), LEN(A11)=2), 1,
IF(AND(A11=INT(A11), LEN(A11)=3), 2,
LEN(A11) - FIND(".", A11) + 2)
)
),
"")</f>
        <v>3</v>
      </c>
      <c r="C11" s="101" t="s">
        <v>72</v>
      </c>
      <c r="D11" s="96" t="str">
        <f t="shared" si="0"/>
        <v xml:space="preserve">                  Cleaning and Grubbing</v>
      </c>
      <c r="E11" s="96" t="s">
        <v>35</v>
      </c>
      <c r="F11" s="96" t="s">
        <v>565</v>
      </c>
      <c r="G11" s="97">
        <v>1</v>
      </c>
      <c r="H11" s="96"/>
      <c r="I11" s="96"/>
      <c r="J11" s="102"/>
      <c r="K11" s="102">
        <f>4408.18*1.33</f>
        <v>5862.8794000000007</v>
      </c>
      <c r="L11" s="103" t="s">
        <v>36</v>
      </c>
      <c r="M11" s="103" t="s">
        <v>37</v>
      </c>
      <c r="N11" s="104"/>
      <c r="O11" s="103" t="s">
        <v>38</v>
      </c>
      <c r="P11" s="112"/>
      <c r="Q11" s="105">
        <v>2024</v>
      </c>
      <c r="R11" s="103" t="s">
        <v>73</v>
      </c>
      <c r="S11" s="160" t="s">
        <v>74</v>
      </c>
      <c r="T11" s="160" t="s">
        <v>75</v>
      </c>
      <c r="U11" s="162" t="s">
        <v>76</v>
      </c>
      <c r="V11" s="108"/>
      <c r="W11" s="99" t="s">
        <v>43</v>
      </c>
      <c r="X11" s="109">
        <f>0.9*$J11</f>
        <v>0</v>
      </c>
      <c r="Y11" s="109">
        <f>1.5*J11</f>
        <v>0</v>
      </c>
      <c r="Z11" s="99" t="s">
        <v>44</v>
      </c>
      <c r="AA11" s="100">
        <f>0.9*K11</f>
        <v>5276.5914600000006</v>
      </c>
      <c r="AB11" s="100">
        <f>1.3*K11</f>
        <v>7621.7432200000012</v>
      </c>
      <c r="AC11" s="99" t="s">
        <v>44</v>
      </c>
      <c r="AD11" s="100" t="s">
        <v>45</v>
      </c>
      <c r="AE11" s="100" t="s">
        <v>46</v>
      </c>
      <c r="AF11" s="100" t="s">
        <v>47</v>
      </c>
      <c r="AG11" s="99" t="s">
        <v>48</v>
      </c>
    </row>
    <row r="12" spans="1:33" x14ac:dyDescent="0.2">
      <c r="A12" s="114">
        <v>211.2</v>
      </c>
      <c r="B12" s="95">
        <f>IF(ISNUMBER(A12),
    IF(AND(A12=INT(A12), MOD(A12, 10) = 0), 0,
        IF(AND(A12=INT(A12), LEN(A12)=2), 1,
            IF(AND(A12=INT(A12), LEN(A12)=3), 2,
                LEN(A12) - FIND(".", A12) + 2)
        )
    ),
"")</f>
        <v>3</v>
      </c>
      <c r="C12" s="101" t="s">
        <v>78</v>
      </c>
      <c r="D12" s="96" t="str">
        <f t="shared" si="0"/>
        <v xml:space="preserve">                  Stripping Topsoil</v>
      </c>
      <c r="E12" s="96" t="s">
        <v>35</v>
      </c>
      <c r="F12" s="96" t="s">
        <v>565</v>
      </c>
      <c r="G12" s="97">
        <v>1</v>
      </c>
      <c r="H12" s="96"/>
      <c r="I12" s="96"/>
      <c r="J12" s="102"/>
      <c r="K12" s="102">
        <f>2565.2*1.33</f>
        <v>3411.7159999999999</v>
      </c>
      <c r="L12" s="103" t="s">
        <v>36</v>
      </c>
      <c r="M12" s="103" t="s">
        <v>37</v>
      </c>
      <c r="N12" s="104"/>
      <c r="O12" s="103" t="s">
        <v>38</v>
      </c>
      <c r="P12" s="112"/>
      <c r="Q12" s="105">
        <v>2024</v>
      </c>
      <c r="R12" s="103" t="s">
        <v>73</v>
      </c>
      <c r="S12" s="161"/>
      <c r="T12" s="161"/>
      <c r="U12" s="161"/>
      <c r="V12" s="108"/>
      <c r="W12" s="99" t="s">
        <v>43</v>
      </c>
      <c r="X12" s="109">
        <f>0.9*$J12</f>
        <v>0</v>
      </c>
      <c r="Y12" s="109">
        <f>1.5*J12</f>
        <v>0</v>
      </c>
      <c r="Z12" s="99" t="s">
        <v>44</v>
      </c>
      <c r="AA12" s="100">
        <f>0.9*K12</f>
        <v>3070.5443999999998</v>
      </c>
      <c r="AB12" s="100">
        <f>1.3*K12</f>
        <v>4435.2308000000003</v>
      </c>
      <c r="AC12" s="99" t="s">
        <v>44</v>
      </c>
      <c r="AD12" s="100" t="s">
        <v>45</v>
      </c>
      <c r="AE12" s="100" t="s">
        <v>46</v>
      </c>
      <c r="AF12" s="100" t="s">
        <v>47</v>
      </c>
      <c r="AG12" s="99" t="s">
        <v>48</v>
      </c>
    </row>
    <row r="13" spans="1:33" x14ac:dyDescent="0.2">
      <c r="A13" s="114">
        <v>211.3</v>
      </c>
      <c r="B13" s="95">
        <f t="shared" ref="B13:B55" si="1">IF(ISNUMBER(A13),
IF(AND(A13=INT(A13), MOD(A13, 10) = 0), 0,
IF(AND(A13=INT(A13), LEN(A13)=2), 1,
IF(AND(A13=INT(A13), LEN(A13)=3), 2,
LEN(A13) - FIND(".", A13) + 2)
)
),
"")</f>
        <v>3</v>
      </c>
      <c r="C13" s="101" t="s">
        <v>79</v>
      </c>
      <c r="D13" s="96" t="str">
        <f t="shared" si="0"/>
        <v xml:space="preserve">                  Excavation</v>
      </c>
      <c r="E13" s="96" t="s">
        <v>35</v>
      </c>
      <c r="F13" s="96" t="s">
        <v>565</v>
      </c>
      <c r="G13" s="97">
        <v>1</v>
      </c>
      <c r="H13" s="96"/>
      <c r="I13" s="96"/>
      <c r="J13" s="102"/>
      <c r="K13" s="102">
        <f>22.86*1.4</f>
        <v>32.003999999999998</v>
      </c>
      <c r="L13" s="103" t="s">
        <v>80</v>
      </c>
      <c r="M13" s="103" t="s">
        <v>81</v>
      </c>
      <c r="N13" s="104"/>
      <c r="O13" s="103" t="s">
        <v>82</v>
      </c>
      <c r="P13" s="112"/>
      <c r="Q13" s="105">
        <v>2024</v>
      </c>
      <c r="R13" s="103" t="s">
        <v>73</v>
      </c>
      <c r="S13" s="152"/>
      <c r="T13" s="152"/>
      <c r="U13" s="152"/>
      <c r="V13" s="108"/>
      <c r="W13" s="99" t="s">
        <v>43</v>
      </c>
      <c r="X13" s="109">
        <f>0.9*$J13</f>
        <v>0</v>
      </c>
      <c r="Y13" s="109">
        <f>1.5*J13</f>
        <v>0</v>
      </c>
      <c r="Z13" s="99" t="s">
        <v>44</v>
      </c>
      <c r="AA13" s="100">
        <f>0.9*K13</f>
        <v>28.803599999999999</v>
      </c>
      <c r="AB13" s="100">
        <f>1.3*K13</f>
        <v>41.605199999999996</v>
      </c>
      <c r="AC13" s="99" t="s">
        <v>44</v>
      </c>
      <c r="AD13" s="100" t="s">
        <v>45</v>
      </c>
      <c r="AE13" s="100" t="s">
        <v>46</v>
      </c>
      <c r="AF13" s="100" t="s">
        <v>47</v>
      </c>
      <c r="AG13" s="99" t="s">
        <v>48</v>
      </c>
    </row>
    <row r="14" spans="1:33" x14ac:dyDescent="0.2">
      <c r="A14" s="114">
        <v>211.4</v>
      </c>
      <c r="B14" s="95">
        <f t="shared" si="1"/>
        <v>3</v>
      </c>
      <c r="C14" s="101" t="s">
        <v>566</v>
      </c>
      <c r="D14" s="96" t="str">
        <f t="shared" si="0"/>
        <v xml:space="preserve">                  Roadwork</v>
      </c>
      <c r="E14" s="96" t="s">
        <v>35</v>
      </c>
      <c r="F14" s="96" t="s">
        <v>565</v>
      </c>
      <c r="G14" s="97">
        <v>1</v>
      </c>
      <c r="H14" s="96"/>
      <c r="I14" s="96"/>
      <c r="J14" s="102"/>
      <c r="K14" s="102"/>
      <c r="L14" s="103"/>
      <c r="M14" s="103"/>
      <c r="N14" s="104"/>
      <c r="O14" s="103"/>
      <c r="P14" s="112"/>
      <c r="Q14" s="105"/>
      <c r="R14" s="103"/>
      <c r="S14" s="106"/>
      <c r="T14" s="106"/>
      <c r="U14" s="107"/>
      <c r="V14" s="108"/>
      <c r="W14" s="99" t="s">
        <v>43</v>
      </c>
      <c r="X14" s="109">
        <f>0.9*$J14</f>
        <v>0</v>
      </c>
      <c r="Y14" s="109">
        <f>1.5*J14</f>
        <v>0</v>
      </c>
      <c r="Z14" s="99" t="s">
        <v>44</v>
      </c>
      <c r="AA14" s="100">
        <f>0.9*K14</f>
        <v>0</v>
      </c>
      <c r="AB14" s="100">
        <f>1.3*K14</f>
        <v>0</v>
      </c>
      <c r="AC14" s="99" t="s">
        <v>44</v>
      </c>
      <c r="AD14" s="100" t="s">
        <v>45</v>
      </c>
      <c r="AE14" s="100" t="s">
        <v>46</v>
      </c>
      <c r="AF14" s="100" t="s">
        <v>47</v>
      </c>
      <c r="AG14" s="99" t="s">
        <v>48</v>
      </c>
    </row>
    <row r="15" spans="1:33" ht="39" customHeight="1" x14ac:dyDescent="0.2">
      <c r="A15" s="114">
        <v>211.9</v>
      </c>
      <c r="B15" s="95">
        <f t="shared" si="1"/>
        <v>3</v>
      </c>
      <c r="C15" s="101" t="s">
        <v>567</v>
      </c>
      <c r="D15" s="96" t="str">
        <f t="shared" si="0"/>
        <v xml:space="preserve">                  Security Fencing</v>
      </c>
      <c r="E15" s="96" t="s">
        <v>35</v>
      </c>
      <c r="F15" s="96" t="s">
        <v>565</v>
      </c>
      <c r="G15" s="97">
        <v>1</v>
      </c>
      <c r="H15" s="96"/>
      <c r="I15" s="96"/>
      <c r="J15" s="102"/>
      <c r="K15" s="102">
        <f>75/0.3048</f>
        <v>246.06299212598424</v>
      </c>
      <c r="L15" s="103" t="s">
        <v>568</v>
      </c>
      <c r="M15" s="103" t="s">
        <v>569</v>
      </c>
      <c r="N15" s="104"/>
      <c r="O15" s="103"/>
      <c r="P15" s="112"/>
      <c r="Q15" s="105">
        <v>2009</v>
      </c>
      <c r="R15" s="103" t="s">
        <v>73</v>
      </c>
      <c r="S15" s="106" t="s">
        <v>570</v>
      </c>
      <c r="T15" s="106" t="s">
        <v>571</v>
      </c>
      <c r="U15" s="116" t="s">
        <v>572</v>
      </c>
      <c r="V15" s="108"/>
      <c r="W15" s="99" t="s">
        <v>43</v>
      </c>
      <c r="X15" s="109">
        <f>0.9*$J15</f>
        <v>0</v>
      </c>
      <c r="Y15" s="109">
        <f>1.5*J15</f>
        <v>0</v>
      </c>
      <c r="Z15" s="99" t="s">
        <v>44</v>
      </c>
      <c r="AA15" s="100">
        <f>0.9*K15</f>
        <v>221.45669291338581</v>
      </c>
      <c r="AB15" s="100">
        <f>1.3*K15</f>
        <v>319.8818897637795</v>
      </c>
      <c r="AC15" s="99" t="s">
        <v>44</v>
      </c>
      <c r="AD15" s="100" t="s">
        <v>45</v>
      </c>
      <c r="AE15" s="100" t="s">
        <v>46</v>
      </c>
      <c r="AF15" s="100" t="s">
        <v>47</v>
      </c>
      <c r="AG15" s="99" t="s">
        <v>48</v>
      </c>
    </row>
    <row r="16" spans="1:33" x14ac:dyDescent="0.2">
      <c r="A16" s="114">
        <v>213</v>
      </c>
      <c r="B16" s="95">
        <f t="shared" si="1"/>
        <v>2</v>
      </c>
      <c r="C16" s="101" t="s">
        <v>573</v>
      </c>
      <c r="D16" s="96" t="str">
        <f t="shared" si="0"/>
        <v xml:space="preserve">            Manufacturing Facility</v>
      </c>
      <c r="E16" s="96"/>
      <c r="F16" s="96"/>
      <c r="G16" s="97"/>
      <c r="H16" s="96"/>
      <c r="I16" s="96"/>
      <c r="J16" s="102"/>
      <c r="K16" s="102"/>
      <c r="L16" s="104"/>
      <c r="M16" s="113"/>
      <c r="N16" s="104"/>
      <c r="O16" s="104"/>
      <c r="P16" s="112"/>
      <c r="Q16" s="112"/>
      <c r="R16" s="104"/>
      <c r="S16" s="113"/>
      <c r="T16" s="106"/>
      <c r="U16" s="107"/>
      <c r="V16" s="108"/>
      <c r="W16" s="99"/>
      <c r="X16" s="109"/>
      <c r="Y16" s="109"/>
      <c r="Z16" s="99"/>
      <c r="AA16" s="100"/>
      <c r="AB16" s="100"/>
      <c r="AC16" s="99"/>
      <c r="AD16" s="100"/>
      <c r="AE16" s="100"/>
      <c r="AF16" s="100"/>
      <c r="AG16" s="99"/>
    </row>
    <row r="17" spans="1:33" x14ac:dyDescent="0.2">
      <c r="A17" s="114">
        <v>213.1</v>
      </c>
      <c r="B17" s="95">
        <f t="shared" si="1"/>
        <v>3</v>
      </c>
      <c r="C17" s="101" t="s">
        <v>574</v>
      </c>
      <c r="D17" s="96" t="str">
        <f t="shared" si="0"/>
        <v xml:space="preserve">                  Fabrication Building</v>
      </c>
      <c r="E17" s="96"/>
      <c r="F17" s="96"/>
      <c r="G17" s="97"/>
      <c r="H17" s="96"/>
      <c r="I17" s="96"/>
      <c r="J17" s="102"/>
      <c r="K17" s="102"/>
      <c r="L17" s="104"/>
      <c r="M17" s="113"/>
      <c r="N17" s="104"/>
      <c r="O17" s="104"/>
      <c r="P17" s="112"/>
      <c r="Q17" s="112"/>
      <c r="R17" s="104"/>
      <c r="S17" s="113"/>
      <c r="T17" s="106"/>
      <c r="U17" s="107"/>
      <c r="V17" s="108"/>
      <c r="W17" s="99"/>
      <c r="X17" s="109"/>
      <c r="Y17" s="109"/>
      <c r="Z17" s="99"/>
      <c r="AA17" s="100"/>
      <c r="AB17" s="100"/>
      <c r="AC17" s="99"/>
      <c r="AD17" s="100"/>
      <c r="AE17" s="100"/>
      <c r="AF17" s="100"/>
      <c r="AG17" s="99"/>
    </row>
    <row r="18" spans="1:33" ht="40.5" customHeight="1" x14ac:dyDescent="0.2">
      <c r="A18" s="114">
        <v>213.11</v>
      </c>
      <c r="B18" s="95">
        <f t="shared" si="1"/>
        <v>4</v>
      </c>
      <c r="C18" s="101" t="str">
        <f>_xlfn.CONCAT(C17," Roof")</f>
        <v>Fabrication Building Roof</v>
      </c>
      <c r="D18" s="96" t="str">
        <f t="shared" si="0"/>
        <v xml:space="preserve">                        Fabrication Building Roof</v>
      </c>
      <c r="E18" s="96" t="s">
        <v>35</v>
      </c>
      <c r="F18" s="96" t="s">
        <v>565</v>
      </c>
      <c r="G18" s="97">
        <v>1</v>
      </c>
      <c r="H18" s="96"/>
      <c r="I18" s="96"/>
      <c r="J18" s="102"/>
      <c r="K18" s="102">
        <f>1200</f>
        <v>1200</v>
      </c>
      <c r="L18" s="103" t="s">
        <v>80</v>
      </c>
      <c r="M18" s="101" t="str">
        <f>_xlfn.CONCAT(C18, " Volume")</f>
        <v>Fabrication Building Roof Volume</v>
      </c>
      <c r="N18" s="104"/>
      <c r="O18" s="103" t="s">
        <v>82</v>
      </c>
      <c r="P18" s="112"/>
      <c r="Q18" s="105">
        <v>2024</v>
      </c>
      <c r="R18" s="103" t="s">
        <v>86</v>
      </c>
      <c r="S18" s="160" t="s">
        <v>575</v>
      </c>
      <c r="T18" s="160" t="s">
        <v>75</v>
      </c>
      <c r="U18" s="162" t="s">
        <v>76</v>
      </c>
      <c r="V18" s="108"/>
      <c r="W18" s="99" t="s">
        <v>43</v>
      </c>
      <c r="X18" s="109">
        <f>0.9*$I18</f>
        <v>0</v>
      </c>
      <c r="Y18" s="109">
        <f>1.5*J18</f>
        <v>0</v>
      </c>
      <c r="Z18" s="99" t="s">
        <v>44</v>
      </c>
      <c r="AA18" s="100">
        <f>0.9*K18</f>
        <v>1080</v>
      </c>
      <c r="AB18" s="100">
        <f>1.3*K18</f>
        <v>1560</v>
      </c>
      <c r="AC18" s="99" t="s">
        <v>44</v>
      </c>
      <c r="AD18" s="100" t="s">
        <v>45</v>
      </c>
      <c r="AE18" s="100" t="s">
        <v>46</v>
      </c>
      <c r="AF18" s="100" t="s">
        <v>47</v>
      </c>
      <c r="AG18" s="99" t="s">
        <v>48</v>
      </c>
    </row>
    <row r="19" spans="1:33" ht="40.5" customHeight="1" x14ac:dyDescent="0.2">
      <c r="A19" s="114">
        <v>213.12</v>
      </c>
      <c r="B19" s="95">
        <f t="shared" si="1"/>
        <v>4</v>
      </c>
      <c r="C19" s="101" t="str">
        <f>_xlfn.CONCAT(C17," Basement")</f>
        <v>Fabrication Building Basement</v>
      </c>
      <c r="D19" s="96" t="str">
        <f t="shared" si="0"/>
        <v xml:space="preserve">                        Fabrication Building Basement</v>
      </c>
      <c r="E19" s="96" t="s">
        <v>35</v>
      </c>
      <c r="F19" s="96" t="s">
        <v>565</v>
      </c>
      <c r="G19" s="97">
        <v>1</v>
      </c>
      <c r="H19" s="96"/>
      <c r="I19" s="96"/>
      <c r="J19" s="102"/>
      <c r="K19" s="102">
        <f>943.9</f>
        <v>943.9</v>
      </c>
      <c r="L19" s="103" t="s">
        <v>80</v>
      </c>
      <c r="M19" s="101" t="str">
        <f>_xlfn.CONCAT(C19, " Volume")</f>
        <v>Fabrication Building Basement Volume</v>
      </c>
      <c r="N19" s="104"/>
      <c r="O19" s="103" t="s">
        <v>82</v>
      </c>
      <c r="P19" s="112"/>
      <c r="Q19" s="105">
        <v>2024</v>
      </c>
      <c r="R19" s="103" t="s">
        <v>86</v>
      </c>
      <c r="S19" s="161"/>
      <c r="T19" s="161"/>
      <c r="U19" s="161"/>
      <c r="V19" s="108"/>
      <c r="W19" s="99" t="s">
        <v>43</v>
      </c>
      <c r="X19" s="109">
        <f>0.9*$I19</f>
        <v>0</v>
      </c>
      <c r="Y19" s="109">
        <f>1.5*J19</f>
        <v>0</v>
      </c>
      <c r="Z19" s="99" t="s">
        <v>44</v>
      </c>
      <c r="AA19" s="100">
        <f>0.9*K19</f>
        <v>849.51</v>
      </c>
      <c r="AB19" s="100">
        <f>1.3*K19</f>
        <v>1227.07</v>
      </c>
      <c r="AC19" s="99" t="s">
        <v>44</v>
      </c>
      <c r="AD19" s="100" t="s">
        <v>45</v>
      </c>
      <c r="AE19" s="100" t="s">
        <v>46</v>
      </c>
      <c r="AF19" s="100" t="s">
        <v>47</v>
      </c>
      <c r="AG19" s="99" t="s">
        <v>48</v>
      </c>
    </row>
    <row r="20" spans="1:33" ht="40.5" customHeight="1" x14ac:dyDescent="0.2">
      <c r="A20" s="114">
        <v>213.13</v>
      </c>
      <c r="B20" s="95">
        <f t="shared" si="1"/>
        <v>4</v>
      </c>
      <c r="C20" s="101" t="str">
        <f>_xlfn.CONCAT(C17," Walls")</f>
        <v>Fabrication Building Walls</v>
      </c>
      <c r="D20" s="96" t="str">
        <f t="shared" si="0"/>
        <v xml:space="preserve">                        Fabrication Building Walls</v>
      </c>
      <c r="E20" s="96" t="s">
        <v>35</v>
      </c>
      <c r="F20" s="96" t="s">
        <v>565</v>
      </c>
      <c r="G20" s="97">
        <v>1</v>
      </c>
      <c r="H20" s="96"/>
      <c r="I20" s="96"/>
      <c r="J20" s="102"/>
      <c r="K20" s="102">
        <f>721.21</f>
        <v>721.21</v>
      </c>
      <c r="L20" s="103" t="s">
        <v>80</v>
      </c>
      <c r="M20" s="101" t="str">
        <f>_xlfn.CONCAT(C20, " Volume")</f>
        <v>Fabrication Building Walls Volume</v>
      </c>
      <c r="N20" s="104"/>
      <c r="O20" s="103" t="s">
        <v>82</v>
      </c>
      <c r="P20" s="112"/>
      <c r="Q20" s="105">
        <v>2024</v>
      </c>
      <c r="R20" s="103" t="s">
        <v>86</v>
      </c>
      <c r="S20" s="152"/>
      <c r="T20" s="152"/>
      <c r="U20" s="152"/>
      <c r="V20" s="108"/>
      <c r="W20" s="99" t="s">
        <v>43</v>
      </c>
      <c r="X20" s="109">
        <f>0.9*$I20</f>
        <v>0</v>
      </c>
      <c r="Y20" s="109">
        <f>1.5*J20</f>
        <v>0</v>
      </c>
      <c r="Z20" s="99" t="s">
        <v>44</v>
      </c>
      <c r="AA20" s="100">
        <f>0.9*K20</f>
        <v>649.08900000000006</v>
      </c>
      <c r="AB20" s="100">
        <f>1.3*K20</f>
        <v>937.57300000000009</v>
      </c>
      <c r="AC20" s="99" t="s">
        <v>44</v>
      </c>
      <c r="AD20" s="100" t="s">
        <v>45</v>
      </c>
      <c r="AE20" s="100" t="s">
        <v>46</v>
      </c>
      <c r="AF20" s="100" t="s">
        <v>47</v>
      </c>
      <c r="AG20" s="99" t="s">
        <v>48</v>
      </c>
    </row>
    <row r="21" spans="1:33" ht="27" customHeight="1" x14ac:dyDescent="0.2">
      <c r="A21" s="114">
        <v>213.19</v>
      </c>
      <c r="B21" s="95">
        <f t="shared" si="1"/>
        <v>4</v>
      </c>
      <c r="C21" s="101" t="s">
        <v>576</v>
      </c>
      <c r="D21" s="96" t="str">
        <f t="shared" si="0"/>
        <v xml:space="preserve">                        HVAC</v>
      </c>
      <c r="E21" s="96" t="s">
        <v>35</v>
      </c>
      <c r="F21" s="96" t="s">
        <v>565</v>
      </c>
      <c r="G21" s="97">
        <v>1</v>
      </c>
      <c r="H21" s="96"/>
      <c r="I21" s="96"/>
      <c r="J21" s="102"/>
      <c r="K21" s="102"/>
      <c r="L21" s="103" t="s">
        <v>80</v>
      </c>
      <c r="M21" s="101" t="str">
        <f>_xlfn.CONCAT(C17, " Volume")</f>
        <v>Fabrication Building Volume</v>
      </c>
      <c r="N21" s="104"/>
      <c r="O21" s="103" t="s">
        <v>82</v>
      </c>
      <c r="P21" s="112"/>
      <c r="Q21" s="105"/>
      <c r="R21" s="103"/>
      <c r="S21" s="106"/>
      <c r="T21" s="106"/>
      <c r="U21" s="107"/>
      <c r="V21" s="108"/>
      <c r="W21" s="99" t="s">
        <v>43</v>
      </c>
      <c r="X21" s="109">
        <f>0.9*$I21</f>
        <v>0</v>
      </c>
      <c r="Y21" s="109">
        <f>1.5*J21</f>
        <v>0</v>
      </c>
      <c r="Z21" s="99" t="s">
        <v>44</v>
      </c>
      <c r="AA21" s="100">
        <f>0.9*K21</f>
        <v>0</v>
      </c>
      <c r="AB21" s="100">
        <f>1.3*K21</f>
        <v>0</v>
      </c>
      <c r="AC21" s="99" t="s">
        <v>44</v>
      </c>
      <c r="AD21" s="100" t="s">
        <v>45</v>
      </c>
      <c r="AE21" s="100" t="s">
        <v>46</v>
      </c>
      <c r="AF21" s="100" t="s">
        <v>47</v>
      </c>
      <c r="AG21" s="99" t="s">
        <v>48</v>
      </c>
    </row>
    <row r="22" spans="1:33" x14ac:dyDescent="0.2">
      <c r="A22" s="114">
        <v>213.2</v>
      </c>
      <c r="B22" s="95">
        <f t="shared" si="1"/>
        <v>3</v>
      </c>
      <c r="C22" s="101" t="s">
        <v>577</v>
      </c>
      <c r="D22" s="96" t="str">
        <f t="shared" si="0"/>
        <v xml:space="preserve">                  Feed and Product Warehouse Building</v>
      </c>
      <c r="E22" s="96"/>
      <c r="F22" s="96"/>
      <c r="G22" s="97"/>
      <c r="H22" s="96"/>
      <c r="I22" s="96"/>
      <c r="J22" s="102"/>
      <c r="K22" s="102"/>
      <c r="L22" s="104"/>
      <c r="M22" s="113"/>
      <c r="N22" s="104"/>
      <c r="O22" s="104"/>
      <c r="P22" s="112"/>
      <c r="Q22" s="112"/>
      <c r="R22" s="104"/>
      <c r="S22" s="113"/>
      <c r="T22" s="106"/>
      <c r="U22" s="107"/>
      <c r="V22" s="108"/>
      <c r="W22" s="99"/>
      <c r="X22" s="109"/>
      <c r="Y22" s="109"/>
      <c r="Z22" s="99"/>
      <c r="AA22" s="100"/>
      <c r="AB22" s="100"/>
      <c r="AC22" s="99"/>
      <c r="AD22" s="100"/>
      <c r="AE22" s="100"/>
      <c r="AF22" s="100"/>
      <c r="AG22" s="99"/>
    </row>
    <row r="23" spans="1:33" ht="54" customHeight="1" x14ac:dyDescent="0.2">
      <c r="A23" s="114">
        <v>213.21</v>
      </c>
      <c r="B23" s="95">
        <f t="shared" si="1"/>
        <v>4</v>
      </c>
      <c r="C23" s="101" t="str">
        <f>_xlfn.CONCAT(C22," Roof")</f>
        <v>Feed and Product Warehouse Building Roof</v>
      </c>
      <c r="D23" s="96" t="str">
        <f t="shared" si="0"/>
        <v xml:space="preserve">                        Feed and Product Warehouse Building Roof</v>
      </c>
      <c r="E23" s="96" t="s">
        <v>35</v>
      </c>
      <c r="F23" s="96" t="s">
        <v>565</v>
      </c>
      <c r="G23" s="97">
        <v>1</v>
      </c>
      <c r="H23" s="96"/>
      <c r="I23" s="96"/>
      <c r="J23" s="102"/>
      <c r="K23" s="102">
        <f>1200</f>
        <v>1200</v>
      </c>
      <c r="L23" s="103" t="s">
        <v>80</v>
      </c>
      <c r="M23" s="101" t="str">
        <f>_xlfn.CONCAT(C23, " Volume")</f>
        <v>Feed and Product Warehouse Building Roof Volume</v>
      </c>
      <c r="N23" s="104"/>
      <c r="O23" s="103" t="s">
        <v>82</v>
      </c>
      <c r="P23" s="112"/>
      <c r="Q23" s="105">
        <v>2024</v>
      </c>
      <c r="R23" s="103" t="s">
        <v>86</v>
      </c>
      <c r="S23" s="160" t="s">
        <v>575</v>
      </c>
      <c r="T23" s="160" t="s">
        <v>75</v>
      </c>
      <c r="U23" s="162" t="s">
        <v>76</v>
      </c>
      <c r="V23" s="108"/>
      <c r="W23" s="99" t="s">
        <v>43</v>
      </c>
      <c r="X23" s="109">
        <f>0.9*$I23</f>
        <v>0</v>
      </c>
      <c r="Y23" s="109">
        <f>1.5*J23</f>
        <v>0</v>
      </c>
      <c r="Z23" s="99" t="s">
        <v>44</v>
      </c>
      <c r="AA23" s="100">
        <f>0.9*K23</f>
        <v>1080</v>
      </c>
      <c r="AB23" s="100">
        <f>1.3*K23</f>
        <v>1560</v>
      </c>
      <c r="AC23" s="99" t="s">
        <v>44</v>
      </c>
      <c r="AD23" s="100" t="s">
        <v>45</v>
      </c>
      <c r="AE23" s="100" t="s">
        <v>46</v>
      </c>
      <c r="AF23" s="100" t="s">
        <v>47</v>
      </c>
      <c r="AG23" s="99" t="s">
        <v>48</v>
      </c>
    </row>
    <row r="24" spans="1:33" ht="54" customHeight="1" x14ac:dyDescent="0.2">
      <c r="A24" s="114">
        <v>213.22</v>
      </c>
      <c r="B24" s="95">
        <f t="shared" si="1"/>
        <v>4</v>
      </c>
      <c r="C24" s="101" t="str">
        <f>_xlfn.CONCAT(C22," Basement")</f>
        <v>Feed and Product Warehouse Building Basement</v>
      </c>
      <c r="D24" s="96" t="str">
        <f t="shared" si="0"/>
        <v xml:space="preserve">                        Feed and Product Warehouse Building Basement</v>
      </c>
      <c r="E24" s="96" t="s">
        <v>35</v>
      </c>
      <c r="F24" s="96" t="s">
        <v>565</v>
      </c>
      <c r="G24" s="97">
        <v>1</v>
      </c>
      <c r="H24" s="96"/>
      <c r="I24" s="96"/>
      <c r="J24" s="102"/>
      <c r="K24" s="102">
        <f>943.9</f>
        <v>943.9</v>
      </c>
      <c r="L24" s="103" t="s">
        <v>80</v>
      </c>
      <c r="M24" s="101" t="str">
        <f>_xlfn.CONCAT(C24, " Volume")</f>
        <v>Feed and Product Warehouse Building Basement Volume</v>
      </c>
      <c r="N24" s="104"/>
      <c r="O24" s="103" t="s">
        <v>82</v>
      </c>
      <c r="P24" s="112"/>
      <c r="Q24" s="105">
        <v>2024</v>
      </c>
      <c r="R24" s="103" t="s">
        <v>86</v>
      </c>
      <c r="S24" s="161"/>
      <c r="T24" s="161"/>
      <c r="U24" s="161"/>
      <c r="V24" s="108"/>
      <c r="W24" s="99" t="s">
        <v>43</v>
      </c>
      <c r="X24" s="109">
        <f>0.9*$I24</f>
        <v>0</v>
      </c>
      <c r="Y24" s="109">
        <f>1.5*J24</f>
        <v>0</v>
      </c>
      <c r="Z24" s="99" t="s">
        <v>44</v>
      </c>
      <c r="AA24" s="100">
        <f>0.9*K24</f>
        <v>849.51</v>
      </c>
      <c r="AB24" s="100">
        <f>1.3*K24</f>
        <v>1227.07</v>
      </c>
      <c r="AC24" s="99" t="s">
        <v>44</v>
      </c>
      <c r="AD24" s="100" t="s">
        <v>45</v>
      </c>
      <c r="AE24" s="100" t="s">
        <v>46</v>
      </c>
      <c r="AF24" s="100" t="s">
        <v>47</v>
      </c>
      <c r="AG24" s="99" t="s">
        <v>48</v>
      </c>
    </row>
    <row r="25" spans="1:33" ht="54" customHeight="1" x14ac:dyDescent="0.2">
      <c r="A25" s="114">
        <v>213.23</v>
      </c>
      <c r="B25" s="95">
        <f t="shared" si="1"/>
        <v>4</v>
      </c>
      <c r="C25" s="101" t="str">
        <f>_xlfn.CONCAT(C22," Walls")</f>
        <v>Feed and Product Warehouse Building Walls</v>
      </c>
      <c r="D25" s="96" t="str">
        <f t="shared" si="0"/>
        <v xml:space="preserve">                        Feed and Product Warehouse Building Walls</v>
      </c>
      <c r="E25" s="96" t="s">
        <v>35</v>
      </c>
      <c r="F25" s="96" t="s">
        <v>565</v>
      </c>
      <c r="G25" s="97">
        <v>1</v>
      </c>
      <c r="H25" s="96"/>
      <c r="I25" s="96"/>
      <c r="J25" s="102"/>
      <c r="K25" s="102">
        <f>721.21</f>
        <v>721.21</v>
      </c>
      <c r="L25" s="103" t="s">
        <v>80</v>
      </c>
      <c r="M25" s="101" t="str">
        <f>_xlfn.CONCAT(C25, " Volume")</f>
        <v>Feed and Product Warehouse Building Walls Volume</v>
      </c>
      <c r="N25" s="104"/>
      <c r="O25" s="103" t="s">
        <v>82</v>
      </c>
      <c r="P25" s="112"/>
      <c r="Q25" s="105">
        <v>2024</v>
      </c>
      <c r="R25" s="103" t="s">
        <v>86</v>
      </c>
      <c r="S25" s="152"/>
      <c r="T25" s="152"/>
      <c r="U25" s="152"/>
      <c r="V25" s="108"/>
      <c r="W25" s="99" t="s">
        <v>43</v>
      </c>
      <c r="X25" s="109">
        <f>0.9*$I25</f>
        <v>0</v>
      </c>
      <c r="Y25" s="109">
        <f>1.5*J25</f>
        <v>0</v>
      </c>
      <c r="Z25" s="99" t="s">
        <v>44</v>
      </c>
      <c r="AA25" s="100">
        <f>0.9*K25</f>
        <v>649.08900000000006</v>
      </c>
      <c r="AB25" s="100">
        <f>1.3*K25</f>
        <v>937.57300000000009</v>
      </c>
      <c r="AC25" s="99" t="s">
        <v>44</v>
      </c>
      <c r="AD25" s="100" t="s">
        <v>45</v>
      </c>
      <c r="AE25" s="100" t="s">
        <v>46</v>
      </c>
      <c r="AF25" s="100" t="s">
        <v>47</v>
      </c>
      <c r="AG25" s="99" t="s">
        <v>48</v>
      </c>
    </row>
    <row r="26" spans="1:33" ht="40.5" customHeight="1" x14ac:dyDescent="0.2">
      <c r="A26" s="114">
        <v>213.29</v>
      </c>
      <c r="B26" s="95">
        <f t="shared" si="1"/>
        <v>4</v>
      </c>
      <c r="C26" s="101" t="s">
        <v>576</v>
      </c>
      <c r="D26" s="96" t="str">
        <f t="shared" si="0"/>
        <v xml:space="preserve">                        HVAC</v>
      </c>
      <c r="E26" s="96" t="s">
        <v>35</v>
      </c>
      <c r="F26" s="96" t="s">
        <v>565</v>
      </c>
      <c r="G26" s="97">
        <v>1</v>
      </c>
      <c r="H26" s="96"/>
      <c r="I26" s="96"/>
      <c r="J26" s="102"/>
      <c r="K26" s="102"/>
      <c r="L26" s="103" t="s">
        <v>80</v>
      </c>
      <c r="M26" s="101" t="str">
        <f>_xlfn.CONCAT(C22, " Volume")</f>
        <v>Feed and Product Warehouse Building Volume</v>
      </c>
      <c r="N26" s="104"/>
      <c r="O26" s="103" t="s">
        <v>82</v>
      </c>
      <c r="P26" s="112"/>
      <c r="Q26" s="105"/>
      <c r="R26" s="103"/>
      <c r="S26" s="106"/>
      <c r="T26" s="106"/>
      <c r="U26" s="107"/>
      <c r="V26" s="108"/>
      <c r="W26" s="99" t="s">
        <v>43</v>
      </c>
      <c r="X26" s="109">
        <f>0.9*$I26</f>
        <v>0</v>
      </c>
      <c r="Y26" s="109">
        <f>1.5*J26</f>
        <v>0</v>
      </c>
      <c r="Z26" s="99" t="s">
        <v>44</v>
      </c>
      <c r="AA26" s="100">
        <f>0.9*K26</f>
        <v>0</v>
      </c>
      <c r="AB26" s="100">
        <f>1.3*K26</f>
        <v>0</v>
      </c>
      <c r="AC26" s="99" t="s">
        <v>44</v>
      </c>
      <c r="AD26" s="100" t="s">
        <v>45</v>
      </c>
      <c r="AE26" s="100" t="s">
        <v>46</v>
      </c>
      <c r="AF26" s="100" t="s">
        <v>47</v>
      </c>
      <c r="AG26" s="99" t="s">
        <v>48</v>
      </c>
    </row>
    <row r="27" spans="1:33" ht="25.5" customHeight="1" x14ac:dyDescent="0.2">
      <c r="A27" s="114">
        <v>213.6</v>
      </c>
      <c r="B27" s="95">
        <f t="shared" si="1"/>
        <v>3</v>
      </c>
      <c r="C27" s="101" t="s">
        <v>578</v>
      </c>
      <c r="D27" s="96" t="str">
        <f t="shared" si="0"/>
        <v xml:space="preserve">                  Manufacturing Facility Integrated Control Building</v>
      </c>
      <c r="E27" s="96"/>
      <c r="F27" s="96"/>
      <c r="G27" s="97"/>
      <c r="H27" s="96"/>
      <c r="I27" s="96"/>
      <c r="J27" s="102"/>
      <c r="K27" s="102"/>
      <c r="L27" s="103"/>
      <c r="M27" s="106"/>
      <c r="N27" s="104"/>
      <c r="O27" s="103"/>
      <c r="P27" s="112"/>
      <c r="Q27" s="105"/>
      <c r="R27" s="103"/>
      <c r="S27" s="106"/>
      <c r="T27" s="106"/>
      <c r="U27" s="107"/>
      <c r="V27" s="108"/>
      <c r="W27" s="99"/>
      <c r="X27" s="109"/>
      <c r="Y27" s="109"/>
      <c r="Z27" s="99"/>
      <c r="AA27" s="100"/>
      <c r="AB27" s="100"/>
      <c r="AC27" s="99"/>
      <c r="AD27" s="100"/>
      <c r="AE27" s="100"/>
      <c r="AF27" s="100"/>
      <c r="AG27" s="99"/>
    </row>
    <row r="28" spans="1:33" ht="67.5" customHeight="1" x14ac:dyDescent="0.2">
      <c r="A28" s="114">
        <v>213.61</v>
      </c>
      <c r="B28" s="95">
        <f t="shared" si="1"/>
        <v>4</v>
      </c>
      <c r="C28" s="101" t="str">
        <f>_xlfn.CONCAT(C27," Roof")</f>
        <v>Manufacturing Facility Integrated Control Building Roof</v>
      </c>
      <c r="D28" s="96" t="str">
        <f t="shared" si="0"/>
        <v xml:space="preserve">                        Manufacturing Facility Integrated Control Building Roof</v>
      </c>
      <c r="E28" s="96" t="s">
        <v>35</v>
      </c>
      <c r="F28" s="96" t="s">
        <v>565</v>
      </c>
      <c r="G28" s="97">
        <v>1</v>
      </c>
      <c r="H28" s="96"/>
      <c r="I28" s="96"/>
      <c r="J28" s="102"/>
      <c r="K28" s="102">
        <f>1200</f>
        <v>1200</v>
      </c>
      <c r="L28" s="103" t="s">
        <v>80</v>
      </c>
      <c r="M28" s="101" t="str">
        <f>_xlfn.CONCAT(C28, " Volume")</f>
        <v>Manufacturing Facility Integrated Control Building Roof Volume</v>
      </c>
      <c r="N28" s="104"/>
      <c r="O28" s="103" t="s">
        <v>82</v>
      </c>
      <c r="P28" s="112"/>
      <c r="Q28" s="105">
        <v>2024</v>
      </c>
      <c r="R28" s="103" t="s">
        <v>86</v>
      </c>
      <c r="S28" s="160" t="s">
        <v>575</v>
      </c>
      <c r="T28" s="160" t="s">
        <v>75</v>
      </c>
      <c r="U28" s="162" t="s">
        <v>76</v>
      </c>
      <c r="V28" s="108"/>
      <c r="W28" s="99" t="s">
        <v>43</v>
      </c>
      <c r="X28" s="109">
        <f>0.9*$I28</f>
        <v>0</v>
      </c>
      <c r="Y28" s="109">
        <f>1.5*J28</f>
        <v>0</v>
      </c>
      <c r="Z28" s="99" t="s">
        <v>44</v>
      </c>
      <c r="AA28" s="100">
        <f>0.9*K28</f>
        <v>1080</v>
      </c>
      <c r="AB28" s="100">
        <f>1.3*K28</f>
        <v>1560</v>
      </c>
      <c r="AC28" s="99" t="s">
        <v>44</v>
      </c>
      <c r="AD28" s="100" t="s">
        <v>45</v>
      </c>
      <c r="AE28" s="100" t="s">
        <v>46</v>
      </c>
      <c r="AF28" s="100" t="s">
        <v>47</v>
      </c>
      <c r="AG28" s="99" t="s">
        <v>48</v>
      </c>
    </row>
    <row r="29" spans="1:33" ht="67.5" customHeight="1" x14ac:dyDescent="0.2">
      <c r="A29" s="114">
        <v>213.62</v>
      </c>
      <c r="B29" s="95">
        <f t="shared" si="1"/>
        <v>4</v>
      </c>
      <c r="C29" s="101" t="str">
        <f>_xlfn.CONCAT(C27," Basement")</f>
        <v>Manufacturing Facility Integrated Control Building Basement</v>
      </c>
      <c r="D29" s="96" t="str">
        <f t="shared" si="0"/>
        <v xml:space="preserve">                        Manufacturing Facility Integrated Control Building Basement</v>
      </c>
      <c r="E29" s="96" t="s">
        <v>35</v>
      </c>
      <c r="F29" s="96" t="s">
        <v>565</v>
      </c>
      <c r="G29" s="97">
        <v>1</v>
      </c>
      <c r="H29" s="96"/>
      <c r="I29" s="96"/>
      <c r="J29" s="102"/>
      <c r="K29" s="102">
        <f>943.9</f>
        <v>943.9</v>
      </c>
      <c r="L29" s="103" t="s">
        <v>80</v>
      </c>
      <c r="M29" s="101" t="str">
        <f>_xlfn.CONCAT(C29, " Volume")</f>
        <v>Manufacturing Facility Integrated Control Building Basement Volume</v>
      </c>
      <c r="N29" s="104"/>
      <c r="O29" s="103" t="s">
        <v>82</v>
      </c>
      <c r="P29" s="112"/>
      <c r="Q29" s="105">
        <v>2024</v>
      </c>
      <c r="R29" s="103" t="s">
        <v>86</v>
      </c>
      <c r="S29" s="161"/>
      <c r="T29" s="161"/>
      <c r="U29" s="161"/>
      <c r="V29" s="108"/>
      <c r="W29" s="99" t="s">
        <v>43</v>
      </c>
      <c r="X29" s="109">
        <f>0.9*$I29</f>
        <v>0</v>
      </c>
      <c r="Y29" s="109">
        <f>1.5*J29</f>
        <v>0</v>
      </c>
      <c r="Z29" s="99" t="s">
        <v>44</v>
      </c>
      <c r="AA29" s="100">
        <f>0.9*K29</f>
        <v>849.51</v>
      </c>
      <c r="AB29" s="100">
        <f>1.3*K29</f>
        <v>1227.07</v>
      </c>
      <c r="AC29" s="99" t="s">
        <v>44</v>
      </c>
      <c r="AD29" s="100" t="s">
        <v>45</v>
      </c>
      <c r="AE29" s="100" t="s">
        <v>46</v>
      </c>
      <c r="AF29" s="100" t="s">
        <v>47</v>
      </c>
      <c r="AG29" s="99" t="s">
        <v>48</v>
      </c>
    </row>
    <row r="30" spans="1:33" ht="67.5" customHeight="1" x14ac:dyDescent="0.2">
      <c r="A30" s="114">
        <v>213.63</v>
      </c>
      <c r="B30" s="95">
        <f t="shared" si="1"/>
        <v>4</v>
      </c>
      <c r="C30" s="101" t="str">
        <f>_xlfn.CONCAT(C27," Walls")</f>
        <v>Manufacturing Facility Integrated Control Building Walls</v>
      </c>
      <c r="D30" s="96" t="str">
        <f t="shared" si="0"/>
        <v xml:space="preserve">                        Manufacturing Facility Integrated Control Building Walls</v>
      </c>
      <c r="E30" s="96" t="s">
        <v>35</v>
      </c>
      <c r="F30" s="96" t="s">
        <v>565</v>
      </c>
      <c r="G30" s="97">
        <v>1</v>
      </c>
      <c r="H30" s="96"/>
      <c r="I30" s="96"/>
      <c r="J30" s="102"/>
      <c r="K30" s="102">
        <f>721.21</f>
        <v>721.21</v>
      </c>
      <c r="L30" s="103" t="s">
        <v>80</v>
      </c>
      <c r="M30" s="101" t="str">
        <f>_xlfn.CONCAT(C30, " Volume")</f>
        <v>Manufacturing Facility Integrated Control Building Walls Volume</v>
      </c>
      <c r="N30" s="104"/>
      <c r="O30" s="103" t="s">
        <v>82</v>
      </c>
      <c r="P30" s="112"/>
      <c r="Q30" s="105">
        <v>2024</v>
      </c>
      <c r="R30" s="103" t="s">
        <v>86</v>
      </c>
      <c r="S30" s="152"/>
      <c r="T30" s="152"/>
      <c r="U30" s="152"/>
      <c r="V30" s="108"/>
      <c r="W30" s="99" t="s">
        <v>43</v>
      </c>
      <c r="X30" s="109">
        <f>0.9*$I30</f>
        <v>0</v>
      </c>
      <c r="Y30" s="109">
        <f>1.5*J30</f>
        <v>0</v>
      </c>
      <c r="Z30" s="99" t="s">
        <v>44</v>
      </c>
      <c r="AA30" s="100">
        <f>0.9*K30</f>
        <v>649.08900000000006</v>
      </c>
      <c r="AB30" s="100">
        <f>1.3*K30</f>
        <v>937.57300000000009</v>
      </c>
      <c r="AC30" s="99" t="s">
        <v>44</v>
      </c>
      <c r="AD30" s="100" t="s">
        <v>45</v>
      </c>
      <c r="AE30" s="100" t="s">
        <v>46</v>
      </c>
      <c r="AF30" s="100" t="s">
        <v>47</v>
      </c>
      <c r="AG30" s="99" t="s">
        <v>48</v>
      </c>
    </row>
    <row r="31" spans="1:33" ht="67.5" customHeight="1" x14ac:dyDescent="0.2">
      <c r="A31" s="114">
        <v>213.69</v>
      </c>
      <c r="B31" s="95">
        <f t="shared" si="1"/>
        <v>4</v>
      </c>
      <c r="C31" s="101" t="s">
        <v>576</v>
      </c>
      <c r="D31" s="96" t="str">
        <f t="shared" si="0"/>
        <v xml:space="preserve">                        HVAC</v>
      </c>
      <c r="E31" s="96" t="s">
        <v>35</v>
      </c>
      <c r="F31" s="96" t="s">
        <v>565</v>
      </c>
      <c r="G31" s="97">
        <v>1</v>
      </c>
      <c r="H31" s="96"/>
      <c r="I31" s="96"/>
      <c r="J31" s="102"/>
      <c r="K31" s="102"/>
      <c r="L31" s="103" t="s">
        <v>80</v>
      </c>
      <c r="M31" s="101" t="str">
        <f>_xlfn.CONCAT(C27, " Volume")</f>
        <v>Manufacturing Facility Integrated Control Building Volume</v>
      </c>
      <c r="N31" s="104"/>
      <c r="O31" s="103" t="s">
        <v>82</v>
      </c>
      <c r="P31" s="112"/>
      <c r="Q31" s="105"/>
      <c r="R31" s="103"/>
      <c r="S31" s="106"/>
      <c r="T31" s="106"/>
      <c r="U31" s="107"/>
      <c r="V31" s="108"/>
      <c r="W31" s="99" t="s">
        <v>43</v>
      </c>
      <c r="X31" s="109">
        <f>0.9*$I31</f>
        <v>0</v>
      </c>
      <c r="Y31" s="109">
        <f>1.5*J31</f>
        <v>0</v>
      </c>
      <c r="Z31" s="99" t="s">
        <v>44</v>
      </c>
      <c r="AA31" s="100">
        <f>0.9*K31</f>
        <v>0</v>
      </c>
      <c r="AB31" s="100">
        <f>1.3*K31</f>
        <v>0</v>
      </c>
      <c r="AC31" s="99" t="s">
        <v>44</v>
      </c>
      <c r="AD31" s="100" t="s">
        <v>45</v>
      </c>
      <c r="AE31" s="100" t="s">
        <v>46</v>
      </c>
      <c r="AF31" s="100" t="s">
        <v>47</v>
      </c>
      <c r="AG31" s="99" t="s">
        <v>48</v>
      </c>
    </row>
    <row r="32" spans="1:33" x14ac:dyDescent="0.2">
      <c r="A32" s="114">
        <v>213.7</v>
      </c>
      <c r="B32" s="95">
        <f t="shared" si="1"/>
        <v>3</v>
      </c>
      <c r="C32" s="101" t="s">
        <v>579</v>
      </c>
      <c r="D32" s="96" t="str">
        <f t="shared" si="0"/>
        <v xml:space="preserve">                  Manufacturing Facility Admin Building</v>
      </c>
      <c r="E32" s="96"/>
      <c r="F32" s="96"/>
      <c r="G32" s="97"/>
      <c r="H32" s="96"/>
      <c r="I32" s="96"/>
      <c r="J32" s="102"/>
      <c r="K32" s="102"/>
      <c r="L32" s="103"/>
      <c r="M32" s="106"/>
      <c r="N32" s="104"/>
      <c r="O32" s="103"/>
      <c r="P32" s="112"/>
      <c r="Q32" s="105"/>
      <c r="R32" s="103"/>
      <c r="S32" s="106"/>
      <c r="T32" s="106"/>
      <c r="U32" s="107"/>
      <c r="V32" s="108"/>
      <c r="W32" s="99"/>
      <c r="X32" s="109"/>
      <c r="Y32" s="109"/>
      <c r="Z32" s="99"/>
      <c r="AA32" s="100"/>
      <c r="AB32" s="100"/>
      <c r="AC32" s="99"/>
      <c r="AD32" s="100"/>
      <c r="AE32" s="100"/>
      <c r="AF32" s="100"/>
      <c r="AG32" s="99"/>
    </row>
    <row r="33" spans="1:33" ht="54" customHeight="1" x14ac:dyDescent="0.2">
      <c r="A33" s="114">
        <v>213.71</v>
      </c>
      <c r="B33" s="95">
        <f t="shared" si="1"/>
        <v>4</v>
      </c>
      <c r="C33" s="101" t="str">
        <f>_xlfn.CONCAT(C32," Roof")</f>
        <v>Manufacturing Facility Admin Building Roof</v>
      </c>
      <c r="D33" s="96" t="str">
        <f t="shared" si="0"/>
        <v xml:space="preserve">                        Manufacturing Facility Admin Building Roof</v>
      </c>
      <c r="E33" s="96" t="s">
        <v>35</v>
      </c>
      <c r="F33" s="96" t="s">
        <v>565</v>
      </c>
      <c r="G33" s="97">
        <v>1</v>
      </c>
      <c r="H33" s="96"/>
      <c r="I33" s="96"/>
      <c r="J33" s="102"/>
      <c r="K33" s="102">
        <f>1200</f>
        <v>1200</v>
      </c>
      <c r="L33" s="103" t="s">
        <v>80</v>
      </c>
      <c r="M33" s="101" t="str">
        <f>_xlfn.CONCAT(C33, " Volume")</f>
        <v>Manufacturing Facility Admin Building Roof Volume</v>
      </c>
      <c r="N33" s="104"/>
      <c r="O33" s="103" t="s">
        <v>82</v>
      </c>
      <c r="P33" s="112"/>
      <c r="Q33" s="105">
        <v>2024</v>
      </c>
      <c r="R33" s="103" t="s">
        <v>86</v>
      </c>
      <c r="S33" s="160" t="s">
        <v>575</v>
      </c>
      <c r="T33" s="160" t="s">
        <v>75</v>
      </c>
      <c r="U33" s="162" t="s">
        <v>76</v>
      </c>
      <c r="V33" s="108"/>
      <c r="W33" s="99" t="s">
        <v>43</v>
      </c>
      <c r="X33" s="109">
        <f>0.9*$I33</f>
        <v>0</v>
      </c>
      <c r="Y33" s="109">
        <f>1.5*J33</f>
        <v>0</v>
      </c>
      <c r="Z33" s="99" t="s">
        <v>44</v>
      </c>
      <c r="AA33" s="100">
        <f>0.9*K33</f>
        <v>1080</v>
      </c>
      <c r="AB33" s="100">
        <f>1.3*K33</f>
        <v>1560</v>
      </c>
      <c r="AC33" s="99" t="s">
        <v>44</v>
      </c>
      <c r="AD33" s="100" t="s">
        <v>45</v>
      </c>
      <c r="AE33" s="100" t="s">
        <v>46</v>
      </c>
      <c r="AF33" s="100" t="s">
        <v>47</v>
      </c>
      <c r="AG33" s="99" t="s">
        <v>48</v>
      </c>
    </row>
    <row r="34" spans="1:33" ht="54" customHeight="1" x14ac:dyDescent="0.2">
      <c r="A34" s="114">
        <v>213.72</v>
      </c>
      <c r="B34" s="95">
        <f t="shared" si="1"/>
        <v>4</v>
      </c>
      <c r="C34" s="101" t="str">
        <f>_xlfn.CONCAT(C32," Basement")</f>
        <v>Manufacturing Facility Admin Building Basement</v>
      </c>
      <c r="D34" s="96" t="str">
        <f t="shared" ref="D34:D50" si="2">REPT("   ", B34*2) &amp; C34</f>
        <v xml:space="preserve">                        Manufacturing Facility Admin Building Basement</v>
      </c>
      <c r="E34" s="96" t="s">
        <v>35</v>
      </c>
      <c r="F34" s="96" t="s">
        <v>565</v>
      </c>
      <c r="G34" s="97">
        <v>1</v>
      </c>
      <c r="H34" s="96"/>
      <c r="I34" s="96"/>
      <c r="J34" s="102"/>
      <c r="K34" s="102">
        <f>943.9</f>
        <v>943.9</v>
      </c>
      <c r="L34" s="103" t="s">
        <v>80</v>
      </c>
      <c r="M34" s="101" t="str">
        <f>_xlfn.CONCAT(C34, " Volume")</f>
        <v>Manufacturing Facility Admin Building Basement Volume</v>
      </c>
      <c r="N34" s="104"/>
      <c r="O34" s="103" t="s">
        <v>82</v>
      </c>
      <c r="P34" s="112"/>
      <c r="Q34" s="105">
        <v>2024</v>
      </c>
      <c r="R34" s="103" t="s">
        <v>86</v>
      </c>
      <c r="S34" s="161"/>
      <c r="T34" s="161"/>
      <c r="U34" s="161"/>
      <c r="V34" s="108"/>
      <c r="W34" s="99" t="s">
        <v>43</v>
      </c>
      <c r="X34" s="109">
        <f>0.9*$I34</f>
        <v>0</v>
      </c>
      <c r="Y34" s="109">
        <f>1.5*J34</f>
        <v>0</v>
      </c>
      <c r="Z34" s="99" t="s">
        <v>44</v>
      </c>
      <c r="AA34" s="100">
        <f>0.9*K34</f>
        <v>849.51</v>
      </c>
      <c r="AB34" s="100">
        <f>1.3*K34</f>
        <v>1227.07</v>
      </c>
      <c r="AC34" s="99" t="s">
        <v>44</v>
      </c>
      <c r="AD34" s="100" t="s">
        <v>45</v>
      </c>
      <c r="AE34" s="100" t="s">
        <v>46</v>
      </c>
      <c r="AF34" s="100" t="s">
        <v>47</v>
      </c>
      <c r="AG34" s="99" t="s">
        <v>48</v>
      </c>
    </row>
    <row r="35" spans="1:33" ht="54" customHeight="1" x14ac:dyDescent="0.2">
      <c r="A35" s="114">
        <v>213.73</v>
      </c>
      <c r="B35" s="95">
        <f t="shared" si="1"/>
        <v>4</v>
      </c>
      <c r="C35" s="101" t="str">
        <f>_xlfn.CONCAT(C32," Walls")</f>
        <v>Manufacturing Facility Admin Building Walls</v>
      </c>
      <c r="D35" s="96" t="str">
        <f t="shared" si="2"/>
        <v xml:space="preserve">                        Manufacturing Facility Admin Building Walls</v>
      </c>
      <c r="E35" s="96" t="s">
        <v>35</v>
      </c>
      <c r="F35" s="96" t="s">
        <v>565</v>
      </c>
      <c r="G35" s="97">
        <v>1</v>
      </c>
      <c r="H35" s="96"/>
      <c r="I35" s="96"/>
      <c r="J35" s="102"/>
      <c r="K35" s="102">
        <f>721.21</f>
        <v>721.21</v>
      </c>
      <c r="L35" s="103" t="s">
        <v>80</v>
      </c>
      <c r="M35" s="101" t="str">
        <f>_xlfn.CONCAT(C35, " Volume")</f>
        <v>Manufacturing Facility Admin Building Walls Volume</v>
      </c>
      <c r="N35" s="104"/>
      <c r="O35" s="103" t="s">
        <v>82</v>
      </c>
      <c r="P35" s="112"/>
      <c r="Q35" s="105">
        <v>2024</v>
      </c>
      <c r="R35" s="103" t="s">
        <v>86</v>
      </c>
      <c r="S35" s="152"/>
      <c r="T35" s="152"/>
      <c r="U35" s="152"/>
      <c r="V35" s="108"/>
      <c r="W35" s="99" t="s">
        <v>43</v>
      </c>
      <c r="X35" s="109">
        <f>0.9*$I35</f>
        <v>0</v>
      </c>
      <c r="Y35" s="109">
        <f>1.5*J35</f>
        <v>0</v>
      </c>
      <c r="Z35" s="99" t="s">
        <v>44</v>
      </c>
      <c r="AA35" s="100">
        <f>0.9*K35</f>
        <v>649.08900000000006</v>
      </c>
      <c r="AB35" s="100">
        <f>1.3*K35</f>
        <v>937.57300000000009</v>
      </c>
      <c r="AC35" s="99" t="s">
        <v>44</v>
      </c>
      <c r="AD35" s="100" t="s">
        <v>45</v>
      </c>
      <c r="AE35" s="100" t="s">
        <v>46</v>
      </c>
      <c r="AF35" s="100" t="s">
        <v>47</v>
      </c>
      <c r="AG35" s="99" t="s">
        <v>48</v>
      </c>
    </row>
    <row r="36" spans="1:33" ht="40.5" customHeight="1" x14ac:dyDescent="0.2">
      <c r="A36" s="114">
        <v>213.79</v>
      </c>
      <c r="B36" s="95">
        <f t="shared" si="1"/>
        <v>4</v>
      </c>
      <c r="C36" s="101" t="s">
        <v>576</v>
      </c>
      <c r="D36" s="96" t="str">
        <f t="shared" si="2"/>
        <v xml:space="preserve">                        HVAC</v>
      </c>
      <c r="E36" s="96" t="s">
        <v>35</v>
      </c>
      <c r="F36" s="96" t="s">
        <v>565</v>
      </c>
      <c r="G36" s="97">
        <v>1</v>
      </c>
      <c r="H36" s="96"/>
      <c r="I36" s="96"/>
      <c r="J36" s="102"/>
      <c r="K36" s="102"/>
      <c r="L36" s="103" t="s">
        <v>80</v>
      </c>
      <c r="M36" s="101" t="str">
        <f>_xlfn.CONCAT(C32, " Volume")</f>
        <v>Manufacturing Facility Admin Building Volume</v>
      </c>
      <c r="N36" s="104"/>
      <c r="O36" s="103" t="s">
        <v>82</v>
      </c>
      <c r="P36" s="112"/>
      <c r="Q36" s="105"/>
      <c r="R36" s="103"/>
      <c r="S36" s="106"/>
      <c r="T36" s="106"/>
      <c r="U36" s="107"/>
      <c r="V36" s="108"/>
      <c r="W36" s="99" t="s">
        <v>43</v>
      </c>
      <c r="X36" s="109">
        <f>0.9*$I36</f>
        <v>0</v>
      </c>
      <c r="Y36" s="109">
        <f>1.5*J36</f>
        <v>0</v>
      </c>
      <c r="Z36" s="99" t="s">
        <v>44</v>
      </c>
      <c r="AA36" s="100">
        <f>0.9*K36</f>
        <v>0</v>
      </c>
      <c r="AB36" s="100">
        <f>1.3*K36</f>
        <v>0</v>
      </c>
      <c r="AC36" s="99" t="s">
        <v>44</v>
      </c>
      <c r="AD36" s="100" t="s">
        <v>45</v>
      </c>
      <c r="AE36" s="100" t="s">
        <v>46</v>
      </c>
      <c r="AF36" s="100" t="s">
        <v>47</v>
      </c>
      <c r="AG36" s="99" t="s">
        <v>48</v>
      </c>
    </row>
    <row r="37" spans="1:33" x14ac:dyDescent="0.2">
      <c r="A37" s="114">
        <v>213.8</v>
      </c>
      <c r="B37" s="95">
        <f t="shared" si="1"/>
        <v>3</v>
      </c>
      <c r="C37" s="101" t="s">
        <v>580</v>
      </c>
      <c r="D37" s="96" t="str">
        <f t="shared" si="2"/>
        <v xml:space="preserve">                  Manufacturing Facility Security Building</v>
      </c>
      <c r="E37" s="96"/>
      <c r="F37" s="96"/>
      <c r="G37" s="97"/>
      <c r="H37" s="96"/>
      <c r="I37" s="96"/>
      <c r="J37" s="102"/>
      <c r="K37" s="102"/>
      <c r="L37" s="103"/>
      <c r="M37" s="106"/>
      <c r="N37" s="104"/>
      <c r="O37" s="103"/>
      <c r="P37" s="112"/>
      <c r="Q37" s="105"/>
      <c r="R37" s="103"/>
      <c r="S37" s="106"/>
      <c r="T37" s="106"/>
      <c r="U37" s="107"/>
      <c r="V37" s="108"/>
      <c r="W37" s="99"/>
      <c r="X37" s="109"/>
      <c r="Y37" s="109"/>
      <c r="Z37" s="99"/>
      <c r="AA37" s="100"/>
      <c r="AB37" s="100"/>
      <c r="AC37" s="99"/>
      <c r="AD37" s="100"/>
      <c r="AE37" s="100"/>
      <c r="AF37" s="100"/>
      <c r="AG37" s="99"/>
    </row>
    <row r="38" spans="1:33" ht="54" customHeight="1" x14ac:dyDescent="0.2">
      <c r="A38" s="114">
        <v>213.81</v>
      </c>
      <c r="B38" s="95">
        <f t="shared" si="1"/>
        <v>4</v>
      </c>
      <c r="C38" s="101" t="str">
        <f>_xlfn.CONCAT(C37," Roof")</f>
        <v>Manufacturing Facility Security Building Roof</v>
      </c>
      <c r="D38" s="96" t="str">
        <f t="shared" si="2"/>
        <v xml:space="preserve">                        Manufacturing Facility Security Building Roof</v>
      </c>
      <c r="E38" s="96" t="s">
        <v>35</v>
      </c>
      <c r="F38" s="96" t="s">
        <v>565</v>
      </c>
      <c r="G38" s="97">
        <v>1</v>
      </c>
      <c r="H38" s="96"/>
      <c r="I38" s="96"/>
      <c r="J38" s="102"/>
      <c r="K38" s="102">
        <f>1200</f>
        <v>1200</v>
      </c>
      <c r="L38" s="103" t="s">
        <v>80</v>
      </c>
      <c r="M38" s="101" t="str">
        <f>_xlfn.CONCAT(C38, " Volume")</f>
        <v>Manufacturing Facility Security Building Roof Volume</v>
      </c>
      <c r="N38" s="104"/>
      <c r="O38" s="103" t="s">
        <v>82</v>
      </c>
      <c r="P38" s="112"/>
      <c r="Q38" s="105">
        <v>2024</v>
      </c>
      <c r="R38" s="103" t="s">
        <v>86</v>
      </c>
      <c r="S38" s="160" t="s">
        <v>575</v>
      </c>
      <c r="T38" s="160" t="s">
        <v>75</v>
      </c>
      <c r="U38" s="162" t="s">
        <v>76</v>
      </c>
      <c r="V38" s="108"/>
      <c r="W38" s="99" t="s">
        <v>43</v>
      </c>
      <c r="X38" s="109">
        <f>0.9*$I38</f>
        <v>0</v>
      </c>
      <c r="Y38" s="109">
        <f>1.5*J38</f>
        <v>0</v>
      </c>
      <c r="Z38" s="99" t="s">
        <v>44</v>
      </c>
      <c r="AA38" s="100">
        <f>0.9*K38</f>
        <v>1080</v>
      </c>
      <c r="AB38" s="100">
        <f>1.3*K38</f>
        <v>1560</v>
      </c>
      <c r="AC38" s="99" t="s">
        <v>44</v>
      </c>
      <c r="AD38" s="100" t="s">
        <v>45</v>
      </c>
      <c r="AE38" s="100" t="s">
        <v>46</v>
      </c>
      <c r="AF38" s="100" t="s">
        <v>47</v>
      </c>
      <c r="AG38" s="99" t="s">
        <v>48</v>
      </c>
    </row>
    <row r="39" spans="1:33" ht="54" customHeight="1" x14ac:dyDescent="0.2">
      <c r="A39" s="114">
        <v>213.82</v>
      </c>
      <c r="B39" s="95">
        <f t="shared" si="1"/>
        <v>4</v>
      </c>
      <c r="C39" s="101" t="str">
        <f>_xlfn.CONCAT(C37," Basement")</f>
        <v>Manufacturing Facility Security Building Basement</v>
      </c>
      <c r="D39" s="96" t="str">
        <f t="shared" si="2"/>
        <v xml:space="preserve">                        Manufacturing Facility Security Building Basement</v>
      </c>
      <c r="E39" s="96" t="s">
        <v>35</v>
      </c>
      <c r="F39" s="96" t="s">
        <v>565</v>
      </c>
      <c r="G39" s="97">
        <v>1</v>
      </c>
      <c r="H39" s="96"/>
      <c r="I39" s="96"/>
      <c r="J39" s="102"/>
      <c r="K39" s="102">
        <f>943.9</f>
        <v>943.9</v>
      </c>
      <c r="L39" s="103" t="s">
        <v>80</v>
      </c>
      <c r="M39" s="101" t="str">
        <f>_xlfn.CONCAT(C39, " Volume")</f>
        <v>Manufacturing Facility Security Building Basement Volume</v>
      </c>
      <c r="N39" s="104"/>
      <c r="O39" s="103" t="s">
        <v>82</v>
      </c>
      <c r="P39" s="112"/>
      <c r="Q39" s="105">
        <v>2024</v>
      </c>
      <c r="R39" s="103" t="s">
        <v>86</v>
      </c>
      <c r="S39" s="161"/>
      <c r="T39" s="161"/>
      <c r="U39" s="161"/>
      <c r="V39" s="108"/>
      <c r="W39" s="99" t="s">
        <v>43</v>
      </c>
      <c r="X39" s="109">
        <f>0.9*$I39</f>
        <v>0</v>
      </c>
      <c r="Y39" s="109">
        <f>1.5*J39</f>
        <v>0</v>
      </c>
      <c r="Z39" s="99" t="s">
        <v>44</v>
      </c>
      <c r="AA39" s="100">
        <f>0.9*K39</f>
        <v>849.51</v>
      </c>
      <c r="AB39" s="100">
        <f>1.3*K39</f>
        <v>1227.07</v>
      </c>
      <c r="AC39" s="99" t="s">
        <v>44</v>
      </c>
      <c r="AD39" s="100" t="s">
        <v>45</v>
      </c>
      <c r="AE39" s="100" t="s">
        <v>46</v>
      </c>
      <c r="AF39" s="100" t="s">
        <v>47</v>
      </c>
      <c r="AG39" s="99" t="s">
        <v>48</v>
      </c>
    </row>
    <row r="40" spans="1:33" ht="54" customHeight="1" x14ac:dyDescent="0.2">
      <c r="A40" s="114">
        <v>213.83</v>
      </c>
      <c r="B40" s="95">
        <f t="shared" si="1"/>
        <v>4</v>
      </c>
      <c r="C40" s="101" t="str">
        <f>_xlfn.CONCAT(C37," Walls")</f>
        <v>Manufacturing Facility Security Building Walls</v>
      </c>
      <c r="D40" s="96" t="str">
        <f t="shared" si="2"/>
        <v xml:space="preserve">                        Manufacturing Facility Security Building Walls</v>
      </c>
      <c r="E40" s="96" t="s">
        <v>35</v>
      </c>
      <c r="F40" s="96" t="s">
        <v>565</v>
      </c>
      <c r="G40" s="97">
        <v>1</v>
      </c>
      <c r="H40" s="96"/>
      <c r="I40" s="96"/>
      <c r="J40" s="102"/>
      <c r="K40" s="102">
        <f>721.21</f>
        <v>721.21</v>
      </c>
      <c r="L40" s="103" t="s">
        <v>80</v>
      </c>
      <c r="M40" s="101" t="str">
        <f>_xlfn.CONCAT(C40, " Volume")</f>
        <v>Manufacturing Facility Security Building Walls Volume</v>
      </c>
      <c r="N40" s="104"/>
      <c r="O40" s="103" t="s">
        <v>82</v>
      </c>
      <c r="P40" s="112"/>
      <c r="Q40" s="105">
        <v>2024</v>
      </c>
      <c r="R40" s="103" t="s">
        <v>86</v>
      </c>
      <c r="S40" s="152"/>
      <c r="T40" s="152"/>
      <c r="U40" s="152"/>
      <c r="V40" s="108"/>
      <c r="W40" s="99" t="s">
        <v>43</v>
      </c>
      <c r="X40" s="109">
        <f>0.9*$I40</f>
        <v>0</v>
      </c>
      <c r="Y40" s="109">
        <f>1.5*J40</f>
        <v>0</v>
      </c>
      <c r="Z40" s="99" t="s">
        <v>44</v>
      </c>
      <c r="AA40" s="100">
        <f>0.9*K40</f>
        <v>649.08900000000006</v>
      </c>
      <c r="AB40" s="100">
        <f>1.3*K40</f>
        <v>937.57300000000009</v>
      </c>
      <c r="AC40" s="99" t="s">
        <v>44</v>
      </c>
      <c r="AD40" s="100" t="s">
        <v>45</v>
      </c>
      <c r="AE40" s="100" t="s">
        <v>46</v>
      </c>
      <c r="AF40" s="100" t="s">
        <v>47</v>
      </c>
      <c r="AG40" s="99" t="s">
        <v>48</v>
      </c>
    </row>
    <row r="41" spans="1:33" ht="40.5" customHeight="1" x14ac:dyDescent="0.2">
      <c r="A41" s="114">
        <v>213.89</v>
      </c>
      <c r="B41" s="95">
        <f t="shared" si="1"/>
        <v>4</v>
      </c>
      <c r="C41" s="101" t="s">
        <v>576</v>
      </c>
      <c r="D41" s="96" t="str">
        <f t="shared" si="2"/>
        <v xml:space="preserve">                        HVAC</v>
      </c>
      <c r="E41" s="96" t="s">
        <v>35</v>
      </c>
      <c r="F41" s="96" t="s">
        <v>565</v>
      </c>
      <c r="G41" s="97">
        <v>1</v>
      </c>
      <c r="H41" s="96"/>
      <c r="I41" s="96"/>
      <c r="J41" s="102"/>
      <c r="K41" s="102"/>
      <c r="L41" s="103" t="s">
        <v>80</v>
      </c>
      <c r="M41" s="101" t="str">
        <f>_xlfn.CONCAT(C37, " Volume")</f>
        <v>Manufacturing Facility Security Building Volume</v>
      </c>
      <c r="N41" s="104"/>
      <c r="O41" s="103" t="s">
        <v>82</v>
      </c>
      <c r="P41" s="112"/>
      <c r="Q41" s="105"/>
      <c r="R41" s="103"/>
      <c r="S41" s="106"/>
      <c r="T41" s="106"/>
      <c r="U41" s="107"/>
      <c r="V41" s="108"/>
      <c r="W41" s="99" t="s">
        <v>43</v>
      </c>
      <c r="X41" s="109">
        <f>0.9*$I41</f>
        <v>0</v>
      </c>
      <c r="Y41" s="109">
        <f>1.5*J41</f>
        <v>0</v>
      </c>
      <c r="Z41" s="99" t="s">
        <v>44</v>
      </c>
      <c r="AA41" s="100">
        <f>0.9*K41</f>
        <v>0</v>
      </c>
      <c r="AB41" s="100">
        <f>1.3*K41</f>
        <v>0</v>
      </c>
      <c r="AC41" s="99" t="s">
        <v>44</v>
      </c>
      <c r="AD41" s="100" t="s">
        <v>45</v>
      </c>
      <c r="AE41" s="100" t="s">
        <v>46</v>
      </c>
      <c r="AF41" s="100" t="s">
        <v>47</v>
      </c>
      <c r="AG41" s="99" t="s">
        <v>48</v>
      </c>
    </row>
    <row r="42" spans="1:33" ht="39" customHeight="1" x14ac:dyDescent="0.2">
      <c r="A42" s="114">
        <v>213.9</v>
      </c>
      <c r="B42" s="95">
        <f t="shared" si="1"/>
        <v>3</v>
      </c>
      <c r="C42" s="101" t="s">
        <v>567</v>
      </c>
      <c r="D42" s="96" t="str">
        <f t="shared" si="2"/>
        <v xml:space="preserve">                  Security Fencing</v>
      </c>
      <c r="E42" s="96" t="s">
        <v>35</v>
      </c>
      <c r="F42" s="96" t="s">
        <v>565</v>
      </c>
      <c r="G42" s="97">
        <v>1</v>
      </c>
      <c r="H42" s="96"/>
      <c r="I42" s="96"/>
      <c r="J42" s="102"/>
      <c r="K42" s="102">
        <f>75/0.3048</f>
        <v>246.06299212598424</v>
      </c>
      <c r="L42" s="103" t="s">
        <v>568</v>
      </c>
      <c r="M42" s="103" t="s">
        <v>581</v>
      </c>
      <c r="N42" s="104"/>
      <c r="O42" s="103"/>
      <c r="P42" s="112"/>
      <c r="Q42" s="105">
        <v>2009</v>
      </c>
      <c r="R42" s="103" t="s">
        <v>73</v>
      </c>
      <c r="S42" s="106" t="s">
        <v>570</v>
      </c>
      <c r="T42" s="106" t="s">
        <v>571</v>
      </c>
      <c r="U42" s="116" t="s">
        <v>572</v>
      </c>
      <c r="V42" s="108"/>
      <c r="W42" s="99" t="s">
        <v>43</v>
      </c>
      <c r="X42" s="109">
        <f>0.9*$J42</f>
        <v>0</v>
      </c>
      <c r="Y42" s="109">
        <f>1.5*J42</f>
        <v>0</v>
      </c>
      <c r="Z42" s="99" t="s">
        <v>44</v>
      </c>
      <c r="AA42" s="100">
        <f>0.9*K42</f>
        <v>221.45669291338581</v>
      </c>
      <c r="AB42" s="100">
        <f>1.3*K42</f>
        <v>319.8818897637795</v>
      </c>
      <c r="AC42" s="99" t="s">
        <v>44</v>
      </c>
      <c r="AD42" s="100" t="s">
        <v>45</v>
      </c>
      <c r="AE42" s="100" t="s">
        <v>46</v>
      </c>
      <c r="AF42" s="100" t="s">
        <v>47</v>
      </c>
      <c r="AG42" s="99" t="s">
        <v>48</v>
      </c>
    </row>
    <row r="43" spans="1:33" x14ac:dyDescent="0.2">
      <c r="A43" s="114">
        <v>214</v>
      </c>
      <c r="B43" s="95">
        <f t="shared" si="1"/>
        <v>2</v>
      </c>
      <c r="C43" s="101" t="s">
        <v>582</v>
      </c>
      <c r="D43" s="96" t="str">
        <f t="shared" si="2"/>
        <v xml:space="preserve">            Servicing Facility</v>
      </c>
      <c r="E43" s="96"/>
      <c r="F43" s="96"/>
      <c r="G43" s="97"/>
      <c r="H43" s="96"/>
      <c r="I43" s="96"/>
      <c r="J43" s="102"/>
      <c r="K43" s="102"/>
      <c r="L43" s="104"/>
      <c r="M43" s="113"/>
      <c r="N43" s="104"/>
      <c r="O43" s="104"/>
      <c r="P43" s="112"/>
      <c r="Q43" s="112"/>
      <c r="R43" s="104"/>
      <c r="S43" s="113"/>
      <c r="T43" s="106"/>
      <c r="U43" s="107"/>
      <c r="V43" s="108"/>
      <c r="W43" s="99"/>
      <c r="X43" s="109"/>
      <c r="Y43" s="109"/>
      <c r="Z43" s="99"/>
      <c r="AA43" s="100"/>
      <c r="AB43" s="100"/>
      <c r="AC43" s="99"/>
      <c r="AD43" s="100"/>
      <c r="AE43" s="100"/>
      <c r="AF43" s="100"/>
      <c r="AG43" s="99"/>
    </row>
    <row r="44" spans="1:33" x14ac:dyDescent="0.2">
      <c r="A44" s="114">
        <v>214.1</v>
      </c>
      <c r="B44" s="95">
        <f t="shared" si="1"/>
        <v>3</v>
      </c>
      <c r="C44" s="101" t="s">
        <v>583</v>
      </c>
      <c r="D44" s="96" t="str">
        <f t="shared" si="2"/>
        <v xml:space="preserve">                  Servicing Building</v>
      </c>
      <c r="E44" s="96"/>
      <c r="F44" s="96"/>
      <c r="G44" s="97"/>
      <c r="H44" s="96"/>
      <c r="I44" s="96"/>
      <c r="J44" s="102"/>
      <c r="K44" s="102"/>
      <c r="L44" s="104"/>
      <c r="M44" s="113"/>
      <c r="N44" s="104"/>
      <c r="O44" s="104"/>
      <c r="P44" s="112"/>
      <c r="Q44" s="112"/>
      <c r="R44" s="104"/>
      <c r="S44" s="113"/>
      <c r="T44" s="106"/>
      <c r="U44" s="107"/>
      <c r="V44" s="108"/>
      <c r="W44" s="99"/>
      <c r="X44" s="109"/>
      <c r="Y44" s="109"/>
      <c r="Z44" s="99"/>
      <c r="AA44" s="100"/>
      <c r="AB44" s="100"/>
      <c r="AC44" s="99"/>
      <c r="AD44" s="100"/>
      <c r="AE44" s="100"/>
      <c r="AF44" s="100"/>
      <c r="AG44" s="99"/>
    </row>
    <row r="45" spans="1:33" ht="40.5" customHeight="1" x14ac:dyDescent="0.2">
      <c r="A45" s="114">
        <v>213.11</v>
      </c>
      <c r="B45" s="95">
        <f t="shared" si="1"/>
        <v>4</v>
      </c>
      <c r="C45" s="101" t="str">
        <f>_xlfn.CONCAT(C44," Roof")</f>
        <v>Servicing Building Roof</v>
      </c>
      <c r="D45" s="96" t="str">
        <f t="shared" si="2"/>
        <v xml:space="preserve">                        Servicing Building Roof</v>
      </c>
      <c r="E45" s="96" t="s">
        <v>35</v>
      </c>
      <c r="F45" s="96" t="s">
        <v>565</v>
      </c>
      <c r="G45" s="97">
        <v>1</v>
      </c>
      <c r="H45" s="96"/>
      <c r="I45" s="96"/>
      <c r="J45" s="102"/>
      <c r="K45" s="102">
        <f>1200 *1.53</f>
        <v>1836</v>
      </c>
      <c r="L45" s="103" t="s">
        <v>80</v>
      </c>
      <c r="M45" s="101" t="str">
        <f>_xlfn.CONCAT(C45, " Volume")</f>
        <v>Servicing Building Roof Volume</v>
      </c>
      <c r="N45" s="104"/>
      <c r="O45" s="103" t="s">
        <v>82</v>
      </c>
      <c r="P45" s="112"/>
      <c r="Q45" s="105">
        <v>2024</v>
      </c>
      <c r="R45" s="103" t="s">
        <v>86</v>
      </c>
      <c r="S45" s="160" t="s">
        <v>575</v>
      </c>
      <c r="T45" s="160" t="s">
        <v>75</v>
      </c>
      <c r="U45" s="162" t="s">
        <v>76</v>
      </c>
      <c r="V45" s="108"/>
      <c r="W45" s="99" t="s">
        <v>43</v>
      </c>
      <c r="X45" s="109">
        <f>0.9*$I45</f>
        <v>0</v>
      </c>
      <c r="Y45" s="109">
        <f>1.5*J45</f>
        <v>0</v>
      </c>
      <c r="Z45" s="99" t="s">
        <v>44</v>
      </c>
      <c r="AA45" s="100">
        <f>0.9*K45</f>
        <v>1652.4</v>
      </c>
      <c r="AB45" s="100">
        <f>1.3*K45</f>
        <v>2386.8000000000002</v>
      </c>
      <c r="AC45" s="99" t="s">
        <v>44</v>
      </c>
      <c r="AD45" s="100" t="s">
        <v>45</v>
      </c>
      <c r="AE45" s="100" t="s">
        <v>46</v>
      </c>
      <c r="AF45" s="100" t="s">
        <v>47</v>
      </c>
      <c r="AG45" s="99" t="s">
        <v>48</v>
      </c>
    </row>
    <row r="46" spans="1:33" ht="40.5" customHeight="1" x14ac:dyDescent="0.2">
      <c r="A46" s="114">
        <v>213.12</v>
      </c>
      <c r="B46" s="95">
        <f t="shared" si="1"/>
        <v>4</v>
      </c>
      <c r="C46" s="101" t="str">
        <f>_xlfn.CONCAT(C44," Basement")</f>
        <v>Servicing Building Basement</v>
      </c>
      <c r="D46" s="96" t="str">
        <f t="shared" si="2"/>
        <v xml:space="preserve">                        Servicing Building Basement</v>
      </c>
      <c r="E46" s="96" t="s">
        <v>35</v>
      </c>
      <c r="F46" s="96" t="s">
        <v>565</v>
      </c>
      <c r="G46" s="97">
        <v>1</v>
      </c>
      <c r="H46" s="96"/>
      <c r="I46" s="96"/>
      <c r="J46" s="102"/>
      <c r="K46" s="102">
        <f>943.9*1.53</f>
        <v>1444.1669999999999</v>
      </c>
      <c r="L46" s="103" t="s">
        <v>80</v>
      </c>
      <c r="M46" s="101" t="str">
        <f>_xlfn.CONCAT(C46, " Volume")</f>
        <v>Servicing Building Basement Volume</v>
      </c>
      <c r="N46" s="104"/>
      <c r="O46" s="103" t="s">
        <v>82</v>
      </c>
      <c r="P46" s="112"/>
      <c r="Q46" s="105">
        <v>2024</v>
      </c>
      <c r="R46" s="103" t="s">
        <v>86</v>
      </c>
      <c r="S46" s="161"/>
      <c r="T46" s="161"/>
      <c r="U46" s="161"/>
      <c r="V46" s="108"/>
      <c r="W46" s="99" t="s">
        <v>43</v>
      </c>
      <c r="X46" s="109">
        <f>0.9*$I46</f>
        <v>0</v>
      </c>
      <c r="Y46" s="109">
        <f>1.5*J46</f>
        <v>0</v>
      </c>
      <c r="Z46" s="99" t="s">
        <v>44</v>
      </c>
      <c r="AA46" s="100">
        <f>0.9*K46</f>
        <v>1299.7502999999999</v>
      </c>
      <c r="AB46" s="100">
        <f>1.3*K46</f>
        <v>1877.4170999999999</v>
      </c>
      <c r="AC46" s="99" t="s">
        <v>44</v>
      </c>
      <c r="AD46" s="100" t="s">
        <v>45</v>
      </c>
      <c r="AE46" s="100" t="s">
        <v>46</v>
      </c>
      <c r="AF46" s="100" t="s">
        <v>47</v>
      </c>
      <c r="AG46" s="99" t="s">
        <v>48</v>
      </c>
    </row>
    <row r="47" spans="1:33" ht="40.5" customHeight="1" x14ac:dyDescent="0.2">
      <c r="A47" s="114">
        <v>213.13</v>
      </c>
      <c r="B47" s="95">
        <f t="shared" si="1"/>
        <v>4</v>
      </c>
      <c r="C47" s="101" t="str">
        <f>_xlfn.CONCAT(C44," Walls")</f>
        <v>Servicing Building Walls</v>
      </c>
      <c r="D47" s="96" t="str">
        <f t="shared" si="2"/>
        <v xml:space="preserve">                        Servicing Building Walls</v>
      </c>
      <c r="E47" s="96" t="s">
        <v>35</v>
      </c>
      <c r="F47" s="96" t="s">
        <v>565</v>
      </c>
      <c r="G47" s="97">
        <v>1</v>
      </c>
      <c r="H47" s="96"/>
      <c r="I47" s="96"/>
      <c r="J47" s="102"/>
      <c r="K47" s="102">
        <f>721.21*1.53</f>
        <v>1103.4513000000002</v>
      </c>
      <c r="L47" s="103" t="s">
        <v>80</v>
      </c>
      <c r="M47" s="101" t="str">
        <f>_xlfn.CONCAT(C47, " Volume")</f>
        <v>Servicing Building Walls Volume</v>
      </c>
      <c r="N47" s="104"/>
      <c r="O47" s="103" t="s">
        <v>82</v>
      </c>
      <c r="P47" s="112"/>
      <c r="Q47" s="105">
        <v>2024</v>
      </c>
      <c r="R47" s="103" t="s">
        <v>86</v>
      </c>
      <c r="S47" s="152"/>
      <c r="T47" s="152"/>
      <c r="U47" s="152"/>
      <c r="V47" s="108"/>
      <c r="W47" s="99" t="s">
        <v>43</v>
      </c>
      <c r="X47" s="109">
        <f>0.9*$I47</f>
        <v>0</v>
      </c>
      <c r="Y47" s="109">
        <f>1.5*J47</f>
        <v>0</v>
      </c>
      <c r="Z47" s="99" t="s">
        <v>44</v>
      </c>
      <c r="AA47" s="100">
        <f>0.9*K47</f>
        <v>993.10617000000013</v>
      </c>
      <c r="AB47" s="100">
        <f>1.3*K47</f>
        <v>1434.4866900000002</v>
      </c>
      <c r="AC47" s="99" t="s">
        <v>44</v>
      </c>
      <c r="AD47" s="100" t="s">
        <v>45</v>
      </c>
      <c r="AE47" s="100" t="s">
        <v>46</v>
      </c>
      <c r="AF47" s="100" t="s">
        <v>47</v>
      </c>
      <c r="AG47" s="99" t="s">
        <v>48</v>
      </c>
    </row>
    <row r="48" spans="1:33" ht="25.5" customHeight="1" x14ac:dyDescent="0.2">
      <c r="A48" s="114">
        <v>214.14</v>
      </c>
      <c r="B48" s="95">
        <f t="shared" si="1"/>
        <v>4</v>
      </c>
      <c r="C48" s="101" t="s">
        <v>584</v>
      </c>
      <c r="D48" s="96" t="str">
        <f t="shared" si="2"/>
        <v xml:space="preserve">                        Servicing Hot Cell</v>
      </c>
      <c r="E48" s="96" t="s">
        <v>35</v>
      </c>
      <c r="F48" s="96" t="s">
        <v>585</v>
      </c>
      <c r="G48" s="97"/>
      <c r="H48" s="96"/>
      <c r="I48" s="96"/>
      <c r="J48" s="102"/>
      <c r="K48" s="102"/>
      <c r="L48" s="104"/>
      <c r="M48" s="113"/>
      <c r="N48" s="104"/>
      <c r="O48" s="104"/>
      <c r="P48" s="112"/>
      <c r="Q48" s="112"/>
      <c r="R48" s="104"/>
      <c r="S48" s="113"/>
      <c r="T48" s="106"/>
      <c r="U48" s="107"/>
      <c r="V48" s="108"/>
      <c r="W48" s="99" t="s">
        <v>43</v>
      </c>
      <c r="X48" s="109">
        <f>0.8*$I48</f>
        <v>0</v>
      </c>
      <c r="Y48" s="109">
        <f>2*J48</f>
        <v>0</v>
      </c>
      <c r="Z48" s="99" t="s">
        <v>44</v>
      </c>
      <c r="AA48" s="100">
        <f>0.8*K48</f>
        <v>0</v>
      </c>
      <c r="AB48" s="100">
        <f>2*K48</f>
        <v>0</v>
      </c>
      <c r="AC48" s="99" t="s">
        <v>44</v>
      </c>
      <c r="AD48" s="100" t="s">
        <v>45</v>
      </c>
      <c r="AE48" s="100" t="s">
        <v>46</v>
      </c>
      <c r="AF48" s="100" t="s">
        <v>47</v>
      </c>
      <c r="AG48" s="99" t="s">
        <v>48</v>
      </c>
    </row>
    <row r="49" spans="1:33" ht="25.5" customHeight="1" x14ac:dyDescent="0.2">
      <c r="A49" s="114">
        <v>214.14099999999999</v>
      </c>
      <c r="B49" s="95">
        <f t="shared" si="1"/>
        <v>5</v>
      </c>
      <c r="C49" s="101" t="s">
        <v>586</v>
      </c>
      <c r="D49" s="96" t="str">
        <f t="shared" si="2"/>
        <v xml:space="preserve">                              Hot Cell Airlock</v>
      </c>
      <c r="E49" s="96" t="s">
        <v>35</v>
      </c>
      <c r="F49" s="96" t="s">
        <v>585</v>
      </c>
      <c r="G49" s="97">
        <v>4</v>
      </c>
      <c r="H49" s="96"/>
      <c r="I49" s="96"/>
      <c r="J49" s="102"/>
      <c r="K49" s="102"/>
      <c r="L49" s="104"/>
      <c r="M49" s="113"/>
      <c r="N49" s="104"/>
      <c r="O49" s="104"/>
      <c r="P49" s="112"/>
      <c r="Q49" s="112"/>
      <c r="R49" s="104"/>
      <c r="S49" s="113"/>
      <c r="T49" s="106"/>
      <c r="U49" s="107"/>
      <c r="V49" s="108"/>
      <c r="W49" s="99" t="s">
        <v>43</v>
      </c>
      <c r="X49" s="109">
        <f>0.8*$I49</f>
        <v>0</v>
      </c>
      <c r="Y49" s="109">
        <f>2*J49</f>
        <v>0</v>
      </c>
      <c r="Z49" s="99" t="s">
        <v>44</v>
      </c>
      <c r="AA49" s="100">
        <f>0.8*K49</f>
        <v>0</v>
      </c>
      <c r="AB49" s="100">
        <f>2*K49</f>
        <v>0</v>
      </c>
      <c r="AC49" s="99" t="s">
        <v>44</v>
      </c>
      <c r="AD49" s="100" t="s">
        <v>45</v>
      </c>
      <c r="AE49" s="100" t="s">
        <v>46</v>
      </c>
      <c r="AF49" s="100" t="s">
        <v>47</v>
      </c>
      <c r="AG49" s="99" t="s">
        <v>48</v>
      </c>
    </row>
    <row r="50" spans="1:33" ht="27" customHeight="1" x14ac:dyDescent="0.2">
      <c r="A50" s="114">
        <v>214.19</v>
      </c>
      <c r="B50" s="95">
        <f t="shared" si="1"/>
        <v>4</v>
      </c>
      <c r="C50" s="101" t="s">
        <v>576</v>
      </c>
      <c r="D50" s="96" t="str">
        <f t="shared" si="2"/>
        <v xml:space="preserve">                        HVAC</v>
      </c>
      <c r="E50" s="96" t="s">
        <v>35</v>
      </c>
      <c r="F50" s="96" t="s">
        <v>565</v>
      </c>
      <c r="G50" s="97">
        <v>1</v>
      </c>
      <c r="H50" s="96"/>
      <c r="I50" s="96"/>
      <c r="J50" s="102"/>
      <c r="K50" s="102"/>
      <c r="L50" s="104" t="s">
        <v>80</v>
      </c>
      <c r="M50" s="113" t="str">
        <f>_xlfn.CONCAT(C44, " Volume")</f>
        <v>Servicing Building Volume</v>
      </c>
      <c r="N50" s="104"/>
      <c r="O50" s="104"/>
      <c r="P50" s="112"/>
      <c r="Q50" s="112"/>
      <c r="R50" s="104"/>
      <c r="S50" s="113"/>
      <c r="T50" s="106"/>
      <c r="U50" s="107"/>
      <c r="V50" s="108"/>
      <c r="W50" s="99" t="s">
        <v>43</v>
      </c>
      <c r="X50" s="109">
        <f>0.9*$I50</f>
        <v>0</v>
      </c>
      <c r="Y50" s="109">
        <f>1.5*J50</f>
        <v>0</v>
      </c>
      <c r="Z50" s="99" t="s">
        <v>44</v>
      </c>
      <c r="AA50" s="100">
        <f>0.9*K50</f>
        <v>0</v>
      </c>
      <c r="AB50" s="100">
        <f>1.3*K50</f>
        <v>0</v>
      </c>
      <c r="AC50" s="99" t="s">
        <v>44</v>
      </c>
      <c r="AD50" s="100" t="s">
        <v>45</v>
      </c>
      <c r="AE50" s="100" t="s">
        <v>46</v>
      </c>
      <c r="AF50" s="100" t="s">
        <v>47</v>
      </c>
      <c r="AG50" s="99" t="s">
        <v>48</v>
      </c>
    </row>
    <row r="51" spans="1:33" x14ac:dyDescent="0.2">
      <c r="A51" s="114">
        <v>214.2</v>
      </c>
      <c r="B51" s="95">
        <f t="shared" si="1"/>
        <v>3</v>
      </c>
      <c r="C51" s="101" t="s">
        <v>587</v>
      </c>
      <c r="D51" s="96"/>
      <c r="E51" s="96"/>
      <c r="F51" s="96"/>
      <c r="G51" s="97"/>
      <c r="H51" s="96"/>
      <c r="I51" s="96"/>
      <c r="J51" s="102"/>
      <c r="K51" s="102"/>
      <c r="L51" s="104"/>
      <c r="M51" s="113"/>
      <c r="N51" s="104"/>
      <c r="O51" s="104"/>
      <c r="P51" s="112"/>
      <c r="Q51" s="112"/>
      <c r="R51" s="104"/>
      <c r="S51" s="113"/>
      <c r="T51" s="106"/>
      <c r="U51" s="107"/>
      <c r="V51" s="108"/>
      <c r="W51" s="99"/>
      <c r="X51" s="109"/>
      <c r="Y51" s="109"/>
      <c r="Z51" s="99"/>
      <c r="AA51" s="100"/>
      <c r="AB51" s="100"/>
      <c r="AC51" s="99"/>
      <c r="AD51" s="100"/>
      <c r="AE51" s="100"/>
      <c r="AF51" s="100"/>
      <c r="AG51" s="99"/>
    </row>
    <row r="52" spans="1:33" ht="54" customHeight="1" x14ac:dyDescent="0.2">
      <c r="A52" s="114">
        <v>214.21</v>
      </c>
      <c r="B52" s="95">
        <f t="shared" si="1"/>
        <v>4</v>
      </c>
      <c r="C52" s="101" t="str">
        <f>_xlfn.CONCAT(C51," Roof")</f>
        <v>Helium Purification and Storage Building Roof</v>
      </c>
      <c r="D52" s="96" t="str">
        <f t="shared" ref="D52:D115" si="3">REPT("   ", B52*2) &amp; C52</f>
        <v xml:space="preserve">                        Helium Purification and Storage Building Roof</v>
      </c>
      <c r="E52" s="96" t="s">
        <v>35</v>
      </c>
      <c r="F52" s="96" t="s">
        <v>565</v>
      </c>
      <c r="G52" s="97">
        <v>1</v>
      </c>
      <c r="H52" s="96"/>
      <c r="I52" s="96"/>
      <c r="J52" s="102"/>
      <c r="K52" s="102">
        <f>1200 *1.53</f>
        <v>1836</v>
      </c>
      <c r="L52" s="103" t="s">
        <v>80</v>
      </c>
      <c r="M52" s="101" t="str">
        <f>_xlfn.CONCAT(C52, " Volume")</f>
        <v>Helium Purification and Storage Building Roof Volume</v>
      </c>
      <c r="N52" s="104"/>
      <c r="O52" s="103" t="s">
        <v>82</v>
      </c>
      <c r="P52" s="112"/>
      <c r="Q52" s="105">
        <v>2024</v>
      </c>
      <c r="R52" s="103" t="s">
        <v>86</v>
      </c>
      <c r="S52" s="160" t="s">
        <v>575</v>
      </c>
      <c r="T52" s="160" t="s">
        <v>75</v>
      </c>
      <c r="U52" s="162" t="s">
        <v>76</v>
      </c>
      <c r="V52" s="108"/>
      <c r="W52" s="99" t="s">
        <v>43</v>
      </c>
      <c r="X52" s="109">
        <f>0.9*$I52</f>
        <v>0</v>
      </c>
      <c r="Y52" s="109">
        <f>1.5*J52</f>
        <v>0</v>
      </c>
      <c r="Z52" s="99" t="s">
        <v>44</v>
      </c>
      <c r="AA52" s="100">
        <f>0.9*K52</f>
        <v>1652.4</v>
      </c>
      <c r="AB52" s="100">
        <f>1.3*K52</f>
        <v>2386.8000000000002</v>
      </c>
      <c r="AC52" s="99" t="s">
        <v>44</v>
      </c>
      <c r="AD52" s="100" t="s">
        <v>45</v>
      </c>
      <c r="AE52" s="100" t="s">
        <v>46</v>
      </c>
      <c r="AF52" s="100" t="s">
        <v>47</v>
      </c>
      <c r="AG52" s="99" t="s">
        <v>48</v>
      </c>
    </row>
    <row r="53" spans="1:33" ht="54" customHeight="1" x14ac:dyDescent="0.2">
      <c r="A53" s="114">
        <v>214.22</v>
      </c>
      <c r="B53" s="95">
        <f t="shared" si="1"/>
        <v>4</v>
      </c>
      <c r="C53" s="101" t="str">
        <f>_xlfn.CONCAT(C51," Basement")</f>
        <v>Helium Purification and Storage Building Basement</v>
      </c>
      <c r="D53" s="96" t="str">
        <f t="shared" si="3"/>
        <v xml:space="preserve">                        Helium Purification and Storage Building Basement</v>
      </c>
      <c r="E53" s="96" t="s">
        <v>35</v>
      </c>
      <c r="F53" s="96" t="s">
        <v>565</v>
      </c>
      <c r="G53" s="97">
        <v>1</v>
      </c>
      <c r="H53" s="96"/>
      <c r="I53" s="96"/>
      <c r="J53" s="102"/>
      <c r="K53" s="102">
        <f>943.9*1.53</f>
        <v>1444.1669999999999</v>
      </c>
      <c r="L53" s="103" t="s">
        <v>80</v>
      </c>
      <c r="M53" s="101" t="str">
        <f>_xlfn.CONCAT(C53, " Volume")</f>
        <v>Helium Purification and Storage Building Basement Volume</v>
      </c>
      <c r="N53" s="104"/>
      <c r="O53" s="103" t="s">
        <v>82</v>
      </c>
      <c r="P53" s="112"/>
      <c r="Q53" s="105">
        <v>2024</v>
      </c>
      <c r="R53" s="103" t="s">
        <v>86</v>
      </c>
      <c r="S53" s="161"/>
      <c r="T53" s="161"/>
      <c r="U53" s="161"/>
      <c r="V53" s="108"/>
      <c r="W53" s="99" t="s">
        <v>43</v>
      </c>
      <c r="X53" s="109">
        <f>0.9*$I53</f>
        <v>0</v>
      </c>
      <c r="Y53" s="109">
        <f>1.5*J53</f>
        <v>0</v>
      </c>
      <c r="Z53" s="99" t="s">
        <v>44</v>
      </c>
      <c r="AA53" s="100">
        <f>0.9*K53</f>
        <v>1299.7502999999999</v>
      </c>
      <c r="AB53" s="100">
        <f>1.3*K53</f>
        <v>1877.4170999999999</v>
      </c>
      <c r="AC53" s="99" t="s">
        <v>44</v>
      </c>
      <c r="AD53" s="100" t="s">
        <v>45</v>
      </c>
      <c r="AE53" s="100" t="s">
        <v>46</v>
      </c>
      <c r="AF53" s="100" t="s">
        <v>47</v>
      </c>
      <c r="AG53" s="99" t="s">
        <v>48</v>
      </c>
    </row>
    <row r="54" spans="1:33" ht="54" customHeight="1" x14ac:dyDescent="0.2">
      <c r="A54" s="114">
        <v>214.23</v>
      </c>
      <c r="B54" s="95">
        <f t="shared" si="1"/>
        <v>4</v>
      </c>
      <c r="C54" s="101" t="str">
        <f>_xlfn.CONCAT(C51," Walls")</f>
        <v>Helium Purification and Storage Building Walls</v>
      </c>
      <c r="D54" s="96" t="str">
        <f t="shared" si="3"/>
        <v xml:space="preserve">                        Helium Purification and Storage Building Walls</v>
      </c>
      <c r="E54" s="96" t="s">
        <v>35</v>
      </c>
      <c r="F54" s="96" t="s">
        <v>565</v>
      </c>
      <c r="G54" s="97">
        <v>1</v>
      </c>
      <c r="H54" s="96"/>
      <c r="I54" s="96"/>
      <c r="J54" s="102"/>
      <c r="K54" s="102">
        <f>721.21*1.53</f>
        <v>1103.4513000000002</v>
      </c>
      <c r="L54" s="103" t="s">
        <v>80</v>
      </c>
      <c r="M54" s="101" t="str">
        <f>_xlfn.CONCAT(C54, " Volume")</f>
        <v>Helium Purification and Storage Building Walls Volume</v>
      </c>
      <c r="N54" s="104"/>
      <c r="O54" s="103" t="s">
        <v>82</v>
      </c>
      <c r="P54" s="112"/>
      <c r="Q54" s="105">
        <v>2024</v>
      </c>
      <c r="R54" s="103" t="s">
        <v>86</v>
      </c>
      <c r="S54" s="152"/>
      <c r="T54" s="152"/>
      <c r="U54" s="152"/>
      <c r="V54" s="108"/>
      <c r="W54" s="99" t="s">
        <v>43</v>
      </c>
      <c r="X54" s="109">
        <f>0.9*$I54</f>
        <v>0</v>
      </c>
      <c r="Y54" s="109">
        <f>1.5*J54</f>
        <v>0</v>
      </c>
      <c r="Z54" s="99" t="s">
        <v>44</v>
      </c>
      <c r="AA54" s="100">
        <f>0.9*K54</f>
        <v>993.10617000000013</v>
      </c>
      <c r="AB54" s="100">
        <f>1.3*K54</f>
        <v>1434.4866900000002</v>
      </c>
      <c r="AC54" s="99" t="s">
        <v>44</v>
      </c>
      <c r="AD54" s="100" t="s">
        <v>45</v>
      </c>
      <c r="AE54" s="100" t="s">
        <v>46</v>
      </c>
      <c r="AF54" s="100" t="s">
        <v>47</v>
      </c>
      <c r="AG54" s="99" t="s">
        <v>48</v>
      </c>
    </row>
    <row r="55" spans="1:33" ht="54" customHeight="1" x14ac:dyDescent="0.2">
      <c r="A55" s="114">
        <v>214.29</v>
      </c>
      <c r="B55" s="95">
        <f t="shared" si="1"/>
        <v>4</v>
      </c>
      <c r="C55" s="101" t="s">
        <v>576</v>
      </c>
      <c r="D55" s="96" t="str">
        <f t="shared" si="3"/>
        <v xml:space="preserve">                        HVAC</v>
      </c>
      <c r="E55" s="96" t="s">
        <v>35</v>
      </c>
      <c r="F55" s="96" t="s">
        <v>565</v>
      </c>
      <c r="G55" s="97">
        <v>1</v>
      </c>
      <c r="H55" s="96"/>
      <c r="I55" s="96"/>
      <c r="J55" s="102"/>
      <c r="K55" s="102"/>
      <c r="L55" s="104" t="s">
        <v>80</v>
      </c>
      <c r="M55" s="113" t="str">
        <f>_xlfn.CONCAT(C51, " Volume")</f>
        <v>Helium Purification and Storage Building Volume</v>
      </c>
      <c r="N55" s="104"/>
      <c r="O55" s="104"/>
      <c r="P55" s="112"/>
      <c r="Q55" s="112"/>
      <c r="R55" s="104"/>
      <c r="S55" s="113"/>
      <c r="T55" s="106"/>
      <c r="U55" s="107"/>
      <c r="V55" s="108"/>
      <c r="W55" s="99" t="s">
        <v>43</v>
      </c>
      <c r="X55" s="109">
        <f>0.9*$I55</f>
        <v>0</v>
      </c>
      <c r="Y55" s="109">
        <f>1.5*J55</f>
        <v>0</v>
      </c>
      <c r="Z55" s="99" t="s">
        <v>44</v>
      </c>
      <c r="AA55" s="100">
        <f>0.9*K55</f>
        <v>0</v>
      </c>
      <c r="AB55" s="100">
        <f>1.3*K55</f>
        <v>0</v>
      </c>
      <c r="AC55" s="99" t="s">
        <v>44</v>
      </c>
      <c r="AD55" s="100" t="s">
        <v>45</v>
      </c>
      <c r="AE55" s="100" t="s">
        <v>46</v>
      </c>
      <c r="AF55" s="100" t="s">
        <v>47</v>
      </c>
      <c r="AG55" s="99" t="s">
        <v>48</v>
      </c>
    </row>
    <row r="56" spans="1:33" ht="25.5" customHeight="1" x14ac:dyDescent="0.2">
      <c r="A56" s="114">
        <v>214.6</v>
      </c>
      <c r="B56" s="95">
        <f t="shared" ref="B56:B61" si="4">IF(ISNUMBER(A56),
    IF(AND(A56=INT(A56), MOD(A56, 10) = 0), 0,
        IF(AND(A56=INT(A56), LEN(A56)=2), 1,
            IF(AND(A56=INT(A56), LEN(A56)=3), 2,
                LEN(A56) - FIND(".", A56) + 2)
        )
    ),
"")</f>
        <v>3</v>
      </c>
      <c r="C56" s="101" t="s">
        <v>588</v>
      </c>
      <c r="D56" s="96" t="str">
        <f t="shared" si="3"/>
        <v xml:space="preserve">                  Servicing Facility Integrated Control Room</v>
      </c>
      <c r="E56" s="96"/>
      <c r="F56" s="96"/>
      <c r="G56" s="97"/>
      <c r="H56" s="96"/>
      <c r="I56" s="96"/>
      <c r="J56" s="102"/>
      <c r="K56" s="102"/>
      <c r="L56" s="103"/>
      <c r="M56" s="101"/>
      <c r="N56" s="104"/>
      <c r="O56" s="103"/>
      <c r="P56" s="112"/>
      <c r="Q56" s="105"/>
      <c r="R56" s="103"/>
      <c r="S56" s="106"/>
      <c r="T56" s="106"/>
      <c r="U56" s="107"/>
      <c r="V56" s="108"/>
      <c r="W56" s="99"/>
      <c r="X56" s="109"/>
      <c r="Y56" s="109"/>
      <c r="Z56" s="99"/>
      <c r="AA56" s="100"/>
      <c r="AB56" s="100"/>
      <c r="AC56" s="99"/>
      <c r="AD56" s="100"/>
      <c r="AE56" s="100"/>
      <c r="AF56" s="100"/>
      <c r="AG56" s="99"/>
    </row>
    <row r="57" spans="1:33" ht="54" customHeight="1" x14ac:dyDescent="0.2">
      <c r="A57" s="114">
        <v>214.61</v>
      </c>
      <c r="B57" s="95">
        <f t="shared" si="4"/>
        <v>4</v>
      </c>
      <c r="C57" s="101" t="str">
        <f>_xlfn.CONCAT(C56," Roof")</f>
        <v>Servicing Facility Integrated Control Room Roof</v>
      </c>
      <c r="D57" s="96" t="str">
        <f t="shared" si="3"/>
        <v xml:space="preserve">                        Servicing Facility Integrated Control Room Roof</v>
      </c>
      <c r="E57" s="96" t="s">
        <v>35</v>
      </c>
      <c r="F57" s="96" t="s">
        <v>565</v>
      </c>
      <c r="G57" s="97">
        <v>1</v>
      </c>
      <c r="H57" s="96"/>
      <c r="I57" s="96"/>
      <c r="J57" s="102"/>
      <c r="K57" s="102">
        <f>1200 *1.53</f>
        <v>1836</v>
      </c>
      <c r="L57" s="103" t="s">
        <v>80</v>
      </c>
      <c r="M57" s="101" t="str">
        <f>_xlfn.CONCAT(C57, " Volume")</f>
        <v>Servicing Facility Integrated Control Room Roof Volume</v>
      </c>
      <c r="N57" s="104"/>
      <c r="O57" s="103" t="s">
        <v>82</v>
      </c>
      <c r="P57" s="112"/>
      <c r="Q57" s="105">
        <v>2024</v>
      </c>
      <c r="R57" s="103" t="s">
        <v>86</v>
      </c>
      <c r="S57" s="160" t="s">
        <v>575</v>
      </c>
      <c r="T57" s="160" t="s">
        <v>75</v>
      </c>
      <c r="U57" s="162" t="s">
        <v>76</v>
      </c>
      <c r="V57" s="108"/>
      <c r="W57" s="99" t="s">
        <v>43</v>
      </c>
      <c r="X57" s="109">
        <f>0.9*$I57</f>
        <v>0</v>
      </c>
      <c r="Y57" s="109">
        <f>1.5*J57</f>
        <v>0</v>
      </c>
      <c r="Z57" s="99" t="s">
        <v>44</v>
      </c>
      <c r="AA57" s="100">
        <f>0.9*K57</f>
        <v>1652.4</v>
      </c>
      <c r="AB57" s="100">
        <f>1.3*K57</f>
        <v>2386.8000000000002</v>
      </c>
      <c r="AC57" s="99" t="s">
        <v>44</v>
      </c>
      <c r="AD57" s="100" t="s">
        <v>45</v>
      </c>
      <c r="AE57" s="100" t="s">
        <v>46</v>
      </c>
      <c r="AF57" s="100" t="s">
        <v>47</v>
      </c>
      <c r="AG57" s="99" t="s">
        <v>48</v>
      </c>
    </row>
    <row r="58" spans="1:33" ht="54" customHeight="1" x14ac:dyDescent="0.2">
      <c r="A58" s="114">
        <v>214.62</v>
      </c>
      <c r="B58" s="95">
        <f t="shared" si="4"/>
        <v>4</v>
      </c>
      <c r="C58" s="101" t="str">
        <f>_xlfn.CONCAT(C56," Basement")</f>
        <v>Servicing Facility Integrated Control Room Basement</v>
      </c>
      <c r="D58" s="96" t="str">
        <f t="shared" si="3"/>
        <v xml:space="preserve">                        Servicing Facility Integrated Control Room Basement</v>
      </c>
      <c r="E58" s="96" t="s">
        <v>35</v>
      </c>
      <c r="F58" s="96" t="s">
        <v>565</v>
      </c>
      <c r="G58" s="97">
        <v>1</v>
      </c>
      <c r="H58" s="96"/>
      <c r="I58" s="96"/>
      <c r="J58" s="102"/>
      <c r="K58" s="102">
        <f>943.9*1.53</f>
        <v>1444.1669999999999</v>
      </c>
      <c r="L58" s="103" t="s">
        <v>80</v>
      </c>
      <c r="M58" s="101" t="str">
        <f>_xlfn.CONCAT(C58, " Volume")</f>
        <v>Servicing Facility Integrated Control Room Basement Volume</v>
      </c>
      <c r="N58" s="104"/>
      <c r="O58" s="103" t="s">
        <v>82</v>
      </c>
      <c r="P58" s="112"/>
      <c r="Q58" s="105">
        <v>2024</v>
      </c>
      <c r="R58" s="103" t="s">
        <v>86</v>
      </c>
      <c r="S58" s="161"/>
      <c r="T58" s="161"/>
      <c r="U58" s="161"/>
      <c r="V58" s="108"/>
      <c r="W58" s="99" t="s">
        <v>43</v>
      </c>
      <c r="X58" s="109">
        <f>0.9*$I58</f>
        <v>0</v>
      </c>
      <c r="Y58" s="109">
        <f>1.5*J58</f>
        <v>0</v>
      </c>
      <c r="Z58" s="99" t="s">
        <v>44</v>
      </c>
      <c r="AA58" s="100">
        <f>0.9*K58</f>
        <v>1299.7502999999999</v>
      </c>
      <c r="AB58" s="100">
        <f>1.3*K58</f>
        <v>1877.4170999999999</v>
      </c>
      <c r="AC58" s="99" t="s">
        <v>44</v>
      </c>
      <c r="AD58" s="100" t="s">
        <v>45</v>
      </c>
      <c r="AE58" s="100" t="s">
        <v>46</v>
      </c>
      <c r="AF58" s="100" t="s">
        <v>47</v>
      </c>
      <c r="AG58" s="99" t="s">
        <v>48</v>
      </c>
    </row>
    <row r="59" spans="1:33" ht="54" customHeight="1" x14ac:dyDescent="0.2">
      <c r="A59" s="114">
        <v>214.63</v>
      </c>
      <c r="B59" s="95">
        <f t="shared" si="4"/>
        <v>4</v>
      </c>
      <c r="C59" s="101" t="str">
        <f>_xlfn.CONCAT(C56," Walls")</f>
        <v>Servicing Facility Integrated Control Room Walls</v>
      </c>
      <c r="D59" s="96" t="str">
        <f t="shared" si="3"/>
        <v xml:space="preserve">                        Servicing Facility Integrated Control Room Walls</v>
      </c>
      <c r="E59" s="96" t="s">
        <v>35</v>
      </c>
      <c r="F59" s="96" t="s">
        <v>565</v>
      </c>
      <c r="G59" s="97">
        <v>1</v>
      </c>
      <c r="H59" s="96"/>
      <c r="I59" s="96"/>
      <c r="J59" s="102"/>
      <c r="K59" s="102">
        <f>721.21*1.53</f>
        <v>1103.4513000000002</v>
      </c>
      <c r="L59" s="103" t="s">
        <v>80</v>
      </c>
      <c r="M59" s="101" t="str">
        <f>_xlfn.CONCAT(C59, " Volume")</f>
        <v>Servicing Facility Integrated Control Room Walls Volume</v>
      </c>
      <c r="N59" s="104"/>
      <c r="O59" s="103" t="s">
        <v>82</v>
      </c>
      <c r="P59" s="112"/>
      <c r="Q59" s="105">
        <v>2024</v>
      </c>
      <c r="R59" s="103" t="s">
        <v>86</v>
      </c>
      <c r="S59" s="152"/>
      <c r="T59" s="152"/>
      <c r="U59" s="152"/>
      <c r="V59" s="108"/>
      <c r="W59" s="99" t="s">
        <v>43</v>
      </c>
      <c r="X59" s="109">
        <f>0.9*$I59</f>
        <v>0</v>
      </c>
      <c r="Y59" s="109">
        <f>1.5*J59</f>
        <v>0</v>
      </c>
      <c r="Z59" s="99" t="s">
        <v>44</v>
      </c>
      <c r="AA59" s="100">
        <f>0.9*K59</f>
        <v>993.10617000000013</v>
      </c>
      <c r="AB59" s="100">
        <f>1.3*K59</f>
        <v>1434.4866900000002</v>
      </c>
      <c r="AC59" s="99" t="s">
        <v>44</v>
      </c>
      <c r="AD59" s="100" t="s">
        <v>45</v>
      </c>
      <c r="AE59" s="100" t="s">
        <v>46</v>
      </c>
      <c r="AF59" s="100" t="s">
        <v>47</v>
      </c>
      <c r="AG59" s="99" t="s">
        <v>48</v>
      </c>
    </row>
    <row r="60" spans="1:33" ht="67.5" customHeight="1" x14ac:dyDescent="0.2">
      <c r="A60" s="114">
        <v>214.69</v>
      </c>
      <c r="B60" s="95">
        <f t="shared" si="4"/>
        <v>4</v>
      </c>
      <c r="C60" s="101" t="s">
        <v>576</v>
      </c>
      <c r="D60" s="96" t="str">
        <f t="shared" si="3"/>
        <v xml:space="preserve">                        HVAC</v>
      </c>
      <c r="E60" s="96" t="s">
        <v>35</v>
      </c>
      <c r="F60" s="96" t="s">
        <v>565</v>
      </c>
      <c r="G60" s="97">
        <v>1</v>
      </c>
      <c r="H60" s="96"/>
      <c r="I60" s="96"/>
      <c r="J60" s="102"/>
      <c r="K60" s="102"/>
      <c r="L60" s="104" t="s">
        <v>80</v>
      </c>
      <c r="M60" s="113" t="str">
        <f>_xlfn.CONCAT(C56, " Volume")</f>
        <v>Servicing Facility Integrated Control Room Volume</v>
      </c>
      <c r="N60" s="104"/>
      <c r="O60" s="103" t="s">
        <v>82</v>
      </c>
      <c r="P60" s="112"/>
      <c r="Q60" s="105"/>
      <c r="R60" s="103"/>
      <c r="S60" s="106"/>
      <c r="T60" s="106"/>
      <c r="U60" s="107"/>
      <c r="V60" s="108"/>
      <c r="W60" s="99" t="s">
        <v>43</v>
      </c>
      <c r="X60" s="109">
        <f>0.9*$I60</f>
        <v>0</v>
      </c>
      <c r="Y60" s="109">
        <f>1.5*J60</f>
        <v>0</v>
      </c>
      <c r="Z60" s="99" t="s">
        <v>44</v>
      </c>
      <c r="AA60" s="100">
        <f>0.9*K60</f>
        <v>0</v>
      </c>
      <c r="AB60" s="100">
        <f>1.3*K60</f>
        <v>0</v>
      </c>
      <c r="AC60" s="99" t="s">
        <v>44</v>
      </c>
      <c r="AD60" s="100" t="s">
        <v>45</v>
      </c>
      <c r="AE60" s="100" t="s">
        <v>46</v>
      </c>
      <c r="AF60" s="100" t="s">
        <v>47</v>
      </c>
      <c r="AG60" s="99" t="s">
        <v>48</v>
      </c>
    </row>
    <row r="61" spans="1:33" x14ac:dyDescent="0.2">
      <c r="A61" s="114">
        <v>214.7</v>
      </c>
      <c r="B61" s="95">
        <f t="shared" si="4"/>
        <v>3</v>
      </c>
      <c r="C61" s="101" t="s">
        <v>589</v>
      </c>
      <c r="D61" s="96" t="str">
        <f t="shared" si="3"/>
        <v xml:space="preserve">                  Servicing Facility Admin Building</v>
      </c>
      <c r="E61" s="96"/>
      <c r="F61" s="96"/>
      <c r="G61" s="97"/>
      <c r="H61" s="96"/>
      <c r="I61" s="96"/>
      <c r="J61" s="102"/>
      <c r="K61" s="102"/>
      <c r="L61" s="103"/>
      <c r="M61" s="106"/>
      <c r="N61" s="104"/>
      <c r="O61" s="103"/>
      <c r="P61" s="112"/>
      <c r="Q61" s="105"/>
      <c r="R61" s="103"/>
      <c r="S61" s="106"/>
      <c r="T61" s="106"/>
      <c r="U61" s="107"/>
      <c r="V61" s="108"/>
      <c r="W61" s="99"/>
      <c r="X61" s="109"/>
      <c r="Y61" s="109"/>
      <c r="Z61" s="99"/>
      <c r="AA61" s="100"/>
      <c r="AB61" s="100"/>
      <c r="AC61" s="99"/>
      <c r="AD61" s="100"/>
      <c r="AE61" s="100"/>
      <c r="AF61" s="100"/>
      <c r="AG61" s="99"/>
    </row>
    <row r="62" spans="1:33" ht="40.5" customHeight="1" x14ac:dyDescent="0.2">
      <c r="A62" s="114">
        <v>214.71</v>
      </c>
      <c r="B62" s="95">
        <f t="shared" ref="B62:B102" si="5">IF(ISNUMBER(A62),
IF(AND(A62=INT(A62), MOD(A62, 10) = 0), 0,
IF(AND(A62=INT(A62), LEN(A62)=2), 1,
IF(AND(A62=INT(A62), LEN(A62)=3), 2,
LEN(A62) - FIND(".", A62) + 2)
)
),
"")</f>
        <v>4</v>
      </c>
      <c r="C62" s="101" t="str">
        <f>_xlfn.CONCAT(C61," Roof")</f>
        <v>Servicing Facility Admin Building Roof</v>
      </c>
      <c r="D62" s="96" t="str">
        <f t="shared" si="3"/>
        <v xml:space="preserve">                        Servicing Facility Admin Building Roof</v>
      </c>
      <c r="E62" s="96" t="s">
        <v>35</v>
      </c>
      <c r="F62" s="96" t="s">
        <v>565</v>
      </c>
      <c r="G62" s="97">
        <v>1</v>
      </c>
      <c r="H62" s="96"/>
      <c r="I62" s="96"/>
      <c r="J62" s="102"/>
      <c r="K62" s="102">
        <f>1200</f>
        <v>1200</v>
      </c>
      <c r="L62" s="103" t="s">
        <v>80</v>
      </c>
      <c r="M62" s="101" t="str">
        <f>_xlfn.CONCAT(C62, " Volume")</f>
        <v>Servicing Facility Admin Building Roof Volume</v>
      </c>
      <c r="N62" s="104"/>
      <c r="O62" s="103" t="s">
        <v>82</v>
      </c>
      <c r="P62" s="112"/>
      <c r="Q62" s="105">
        <v>2024</v>
      </c>
      <c r="R62" s="103" t="s">
        <v>86</v>
      </c>
      <c r="S62" s="160" t="s">
        <v>575</v>
      </c>
      <c r="T62" s="160" t="s">
        <v>75</v>
      </c>
      <c r="U62" s="162" t="s">
        <v>76</v>
      </c>
      <c r="V62" s="108"/>
      <c r="W62" s="99" t="s">
        <v>43</v>
      </c>
      <c r="X62" s="109">
        <f>0.9*$I62</f>
        <v>0</v>
      </c>
      <c r="Y62" s="109">
        <f>1.5*J62</f>
        <v>0</v>
      </c>
      <c r="Z62" s="99" t="s">
        <v>44</v>
      </c>
      <c r="AA62" s="100">
        <f>0.9*K62</f>
        <v>1080</v>
      </c>
      <c r="AB62" s="100">
        <f>1.3*K62</f>
        <v>1560</v>
      </c>
      <c r="AC62" s="99" t="s">
        <v>44</v>
      </c>
      <c r="AD62" s="100" t="s">
        <v>45</v>
      </c>
      <c r="AE62" s="100" t="s">
        <v>46</v>
      </c>
      <c r="AF62" s="100" t="s">
        <v>47</v>
      </c>
      <c r="AG62" s="99" t="s">
        <v>48</v>
      </c>
    </row>
    <row r="63" spans="1:33" ht="40.5" customHeight="1" x14ac:dyDescent="0.2">
      <c r="A63" s="114">
        <v>214.72</v>
      </c>
      <c r="B63" s="95">
        <f t="shared" si="5"/>
        <v>4</v>
      </c>
      <c r="C63" s="101" t="str">
        <f>_xlfn.CONCAT(C61," Basement")</f>
        <v>Servicing Facility Admin Building Basement</v>
      </c>
      <c r="D63" s="96" t="str">
        <f t="shared" si="3"/>
        <v xml:space="preserve">                        Servicing Facility Admin Building Basement</v>
      </c>
      <c r="E63" s="96" t="s">
        <v>35</v>
      </c>
      <c r="F63" s="96" t="s">
        <v>565</v>
      </c>
      <c r="G63" s="97">
        <v>1</v>
      </c>
      <c r="H63" s="96"/>
      <c r="I63" s="96"/>
      <c r="J63" s="102"/>
      <c r="K63" s="102">
        <f>943.9</f>
        <v>943.9</v>
      </c>
      <c r="L63" s="103" t="s">
        <v>80</v>
      </c>
      <c r="M63" s="101" t="str">
        <f>_xlfn.CONCAT(C63, " Volume")</f>
        <v>Servicing Facility Admin Building Basement Volume</v>
      </c>
      <c r="N63" s="104"/>
      <c r="O63" s="103" t="s">
        <v>82</v>
      </c>
      <c r="P63" s="112"/>
      <c r="Q63" s="105">
        <v>2024</v>
      </c>
      <c r="R63" s="103" t="s">
        <v>86</v>
      </c>
      <c r="S63" s="161"/>
      <c r="T63" s="161"/>
      <c r="U63" s="161"/>
      <c r="V63" s="108"/>
      <c r="W63" s="99" t="s">
        <v>43</v>
      </c>
      <c r="X63" s="109">
        <f>0.9*$I63</f>
        <v>0</v>
      </c>
      <c r="Y63" s="109">
        <f>1.5*J63</f>
        <v>0</v>
      </c>
      <c r="Z63" s="99" t="s">
        <v>44</v>
      </c>
      <c r="AA63" s="100">
        <f>0.9*K63</f>
        <v>849.51</v>
      </c>
      <c r="AB63" s="100">
        <f>1.3*K63</f>
        <v>1227.07</v>
      </c>
      <c r="AC63" s="99" t="s">
        <v>44</v>
      </c>
      <c r="AD63" s="100" t="s">
        <v>45</v>
      </c>
      <c r="AE63" s="100" t="s">
        <v>46</v>
      </c>
      <c r="AF63" s="100" t="s">
        <v>47</v>
      </c>
      <c r="AG63" s="99" t="s">
        <v>48</v>
      </c>
    </row>
    <row r="64" spans="1:33" ht="40.5" customHeight="1" x14ac:dyDescent="0.2">
      <c r="A64" s="114">
        <v>214.73</v>
      </c>
      <c r="B64" s="95">
        <f t="shared" si="5"/>
        <v>4</v>
      </c>
      <c r="C64" s="101" t="str">
        <f>_xlfn.CONCAT(C61," Walls")</f>
        <v>Servicing Facility Admin Building Walls</v>
      </c>
      <c r="D64" s="96" t="str">
        <f t="shared" si="3"/>
        <v xml:space="preserve">                        Servicing Facility Admin Building Walls</v>
      </c>
      <c r="E64" s="96" t="s">
        <v>35</v>
      </c>
      <c r="F64" s="96" t="s">
        <v>565</v>
      </c>
      <c r="G64" s="97">
        <v>1</v>
      </c>
      <c r="H64" s="96"/>
      <c r="I64" s="96"/>
      <c r="J64" s="102"/>
      <c r="K64" s="102">
        <f>721.21</f>
        <v>721.21</v>
      </c>
      <c r="L64" s="103" t="s">
        <v>80</v>
      </c>
      <c r="M64" s="101" t="str">
        <f>_xlfn.CONCAT(C64, " Volume")</f>
        <v>Servicing Facility Admin Building Walls Volume</v>
      </c>
      <c r="N64" s="104"/>
      <c r="O64" s="103" t="s">
        <v>82</v>
      </c>
      <c r="P64" s="112"/>
      <c r="Q64" s="105">
        <v>2024</v>
      </c>
      <c r="R64" s="103" t="s">
        <v>86</v>
      </c>
      <c r="S64" s="152"/>
      <c r="T64" s="152"/>
      <c r="U64" s="152"/>
      <c r="V64" s="108"/>
      <c r="W64" s="99" t="s">
        <v>43</v>
      </c>
      <c r="X64" s="109">
        <f>0.9*$I64</f>
        <v>0</v>
      </c>
      <c r="Y64" s="109">
        <f>1.5*J64</f>
        <v>0</v>
      </c>
      <c r="Z64" s="99" t="s">
        <v>44</v>
      </c>
      <c r="AA64" s="100">
        <f>0.9*K64</f>
        <v>649.08900000000006</v>
      </c>
      <c r="AB64" s="100">
        <f>1.3*K64</f>
        <v>937.57300000000009</v>
      </c>
      <c r="AC64" s="99" t="s">
        <v>44</v>
      </c>
      <c r="AD64" s="100" t="s">
        <v>45</v>
      </c>
      <c r="AE64" s="100" t="s">
        <v>46</v>
      </c>
      <c r="AF64" s="100" t="s">
        <v>47</v>
      </c>
      <c r="AG64" s="99" t="s">
        <v>48</v>
      </c>
    </row>
    <row r="65" spans="1:33" ht="40.5" customHeight="1" x14ac:dyDescent="0.2">
      <c r="A65" s="114">
        <v>214.79</v>
      </c>
      <c r="B65" s="95">
        <f t="shared" si="5"/>
        <v>4</v>
      </c>
      <c r="C65" s="101" t="s">
        <v>576</v>
      </c>
      <c r="D65" s="96" t="str">
        <f t="shared" si="3"/>
        <v xml:space="preserve">                        HVAC</v>
      </c>
      <c r="E65" s="96" t="s">
        <v>35</v>
      </c>
      <c r="F65" s="96" t="s">
        <v>565</v>
      </c>
      <c r="G65" s="97">
        <v>1</v>
      </c>
      <c r="H65" s="96"/>
      <c r="I65" s="96"/>
      <c r="J65" s="102"/>
      <c r="K65" s="102"/>
      <c r="L65" s="103" t="s">
        <v>80</v>
      </c>
      <c r="M65" s="101" t="str">
        <f>_xlfn.CONCAT(C61, " Volume")</f>
        <v>Servicing Facility Admin Building Volume</v>
      </c>
      <c r="N65" s="104"/>
      <c r="O65" s="103" t="s">
        <v>82</v>
      </c>
      <c r="P65" s="112"/>
      <c r="Q65" s="105"/>
      <c r="R65" s="103"/>
      <c r="S65" s="106"/>
      <c r="T65" s="106"/>
      <c r="U65" s="107"/>
      <c r="V65" s="108"/>
      <c r="W65" s="99" t="s">
        <v>43</v>
      </c>
      <c r="X65" s="109">
        <f>0.9*$I65</f>
        <v>0</v>
      </c>
      <c r="Y65" s="109">
        <f>1.5*J65</f>
        <v>0</v>
      </c>
      <c r="Z65" s="99" t="s">
        <v>44</v>
      </c>
      <c r="AA65" s="100">
        <f>0.9*K65</f>
        <v>0</v>
      </c>
      <c r="AB65" s="100">
        <f>1.3*K65</f>
        <v>0</v>
      </c>
      <c r="AC65" s="99" t="s">
        <v>44</v>
      </c>
      <c r="AD65" s="100" t="s">
        <v>45</v>
      </c>
      <c r="AE65" s="100" t="s">
        <v>46</v>
      </c>
      <c r="AF65" s="100" t="s">
        <v>47</v>
      </c>
      <c r="AG65" s="99" t="s">
        <v>48</v>
      </c>
    </row>
    <row r="66" spans="1:33" x14ac:dyDescent="0.2">
      <c r="A66" s="114">
        <v>214.8</v>
      </c>
      <c r="B66" s="95">
        <f t="shared" si="5"/>
        <v>3</v>
      </c>
      <c r="C66" s="101" t="s">
        <v>590</v>
      </c>
      <c r="D66" s="96" t="str">
        <f t="shared" si="3"/>
        <v xml:space="preserve">                  Servicing Facility Security Building</v>
      </c>
      <c r="E66" s="96"/>
      <c r="F66" s="96"/>
      <c r="G66" s="97"/>
      <c r="H66" s="96"/>
      <c r="I66" s="96"/>
      <c r="J66" s="102"/>
      <c r="K66" s="102"/>
      <c r="L66" s="103"/>
      <c r="M66" s="106"/>
      <c r="N66" s="104"/>
      <c r="O66" s="103"/>
      <c r="P66" s="112"/>
      <c r="Q66" s="105"/>
      <c r="R66" s="103"/>
      <c r="S66" s="106"/>
      <c r="T66" s="106"/>
      <c r="U66" s="107"/>
      <c r="V66" s="108"/>
      <c r="W66" s="99"/>
      <c r="X66" s="109"/>
      <c r="Y66" s="109"/>
      <c r="Z66" s="99"/>
      <c r="AA66" s="100"/>
      <c r="AB66" s="100"/>
      <c r="AC66" s="99"/>
      <c r="AD66" s="100"/>
      <c r="AE66" s="100"/>
      <c r="AF66" s="100"/>
      <c r="AG66" s="99"/>
    </row>
    <row r="67" spans="1:33" ht="40.5" customHeight="1" x14ac:dyDescent="0.2">
      <c r="A67" s="114">
        <v>214.81</v>
      </c>
      <c r="B67" s="95">
        <f t="shared" si="5"/>
        <v>4</v>
      </c>
      <c r="C67" s="101" t="str">
        <f>_xlfn.CONCAT(C66," Roof")</f>
        <v>Servicing Facility Security Building Roof</v>
      </c>
      <c r="D67" s="96" t="str">
        <f t="shared" si="3"/>
        <v xml:space="preserve">                        Servicing Facility Security Building Roof</v>
      </c>
      <c r="E67" s="96" t="s">
        <v>35</v>
      </c>
      <c r="F67" s="96" t="s">
        <v>565</v>
      </c>
      <c r="G67" s="97">
        <v>1</v>
      </c>
      <c r="H67" s="96"/>
      <c r="I67" s="96"/>
      <c r="J67" s="102"/>
      <c r="K67" s="102">
        <f>1200</f>
        <v>1200</v>
      </c>
      <c r="L67" s="103" t="s">
        <v>80</v>
      </c>
      <c r="M67" s="101" t="str">
        <f>_xlfn.CONCAT(C67, " Volume")</f>
        <v>Servicing Facility Security Building Roof Volume</v>
      </c>
      <c r="N67" s="104"/>
      <c r="O67" s="103" t="s">
        <v>82</v>
      </c>
      <c r="P67" s="112"/>
      <c r="Q67" s="105">
        <v>2024</v>
      </c>
      <c r="R67" s="103" t="s">
        <v>86</v>
      </c>
      <c r="S67" s="160" t="s">
        <v>575</v>
      </c>
      <c r="T67" s="160" t="s">
        <v>75</v>
      </c>
      <c r="U67" s="162" t="s">
        <v>76</v>
      </c>
      <c r="V67" s="108"/>
      <c r="W67" s="99" t="s">
        <v>43</v>
      </c>
      <c r="X67" s="109">
        <f>0.9*$I67</f>
        <v>0</v>
      </c>
      <c r="Y67" s="109">
        <f>1.5*J67</f>
        <v>0</v>
      </c>
      <c r="Z67" s="99" t="s">
        <v>44</v>
      </c>
      <c r="AA67" s="100">
        <f>0.9*K67</f>
        <v>1080</v>
      </c>
      <c r="AB67" s="100">
        <f>1.3*K67</f>
        <v>1560</v>
      </c>
      <c r="AC67" s="99" t="s">
        <v>44</v>
      </c>
      <c r="AD67" s="100" t="s">
        <v>45</v>
      </c>
      <c r="AE67" s="100" t="s">
        <v>46</v>
      </c>
      <c r="AF67" s="100" t="s">
        <v>47</v>
      </c>
      <c r="AG67" s="99" t="s">
        <v>48</v>
      </c>
    </row>
    <row r="68" spans="1:33" ht="40.5" customHeight="1" x14ac:dyDescent="0.2">
      <c r="A68" s="114">
        <v>214.82</v>
      </c>
      <c r="B68" s="95">
        <f t="shared" si="5"/>
        <v>4</v>
      </c>
      <c r="C68" s="101" t="str">
        <f>_xlfn.CONCAT(C66," Basement")</f>
        <v>Servicing Facility Security Building Basement</v>
      </c>
      <c r="D68" s="96" t="str">
        <f t="shared" si="3"/>
        <v xml:space="preserve">                        Servicing Facility Security Building Basement</v>
      </c>
      <c r="E68" s="96" t="s">
        <v>35</v>
      </c>
      <c r="F68" s="96" t="s">
        <v>565</v>
      </c>
      <c r="G68" s="97">
        <v>1</v>
      </c>
      <c r="H68" s="96"/>
      <c r="I68" s="96"/>
      <c r="J68" s="102"/>
      <c r="K68" s="102">
        <f>943.9</f>
        <v>943.9</v>
      </c>
      <c r="L68" s="103" t="s">
        <v>80</v>
      </c>
      <c r="M68" s="101" t="str">
        <f>_xlfn.CONCAT(C68, " Volume")</f>
        <v>Servicing Facility Security Building Basement Volume</v>
      </c>
      <c r="N68" s="104"/>
      <c r="O68" s="103" t="s">
        <v>82</v>
      </c>
      <c r="P68" s="112"/>
      <c r="Q68" s="105">
        <v>2024</v>
      </c>
      <c r="R68" s="103" t="s">
        <v>86</v>
      </c>
      <c r="S68" s="161"/>
      <c r="T68" s="161"/>
      <c r="U68" s="161"/>
      <c r="V68" s="108"/>
      <c r="W68" s="99" t="s">
        <v>43</v>
      </c>
      <c r="X68" s="109">
        <f>0.9*$I68</f>
        <v>0</v>
      </c>
      <c r="Y68" s="109">
        <f>1.5*J68</f>
        <v>0</v>
      </c>
      <c r="Z68" s="99" t="s">
        <v>44</v>
      </c>
      <c r="AA68" s="100">
        <f>0.9*K68</f>
        <v>849.51</v>
      </c>
      <c r="AB68" s="100">
        <f>1.3*K68</f>
        <v>1227.07</v>
      </c>
      <c r="AC68" s="99" t="s">
        <v>44</v>
      </c>
      <c r="AD68" s="100" t="s">
        <v>45</v>
      </c>
      <c r="AE68" s="100" t="s">
        <v>46</v>
      </c>
      <c r="AF68" s="100" t="s">
        <v>47</v>
      </c>
      <c r="AG68" s="99" t="s">
        <v>48</v>
      </c>
    </row>
    <row r="69" spans="1:33" ht="40.5" customHeight="1" x14ac:dyDescent="0.2">
      <c r="A69" s="114">
        <v>214.83</v>
      </c>
      <c r="B69" s="95">
        <f t="shared" si="5"/>
        <v>4</v>
      </c>
      <c r="C69" s="101" t="str">
        <f>_xlfn.CONCAT(C66," Walls")</f>
        <v>Servicing Facility Security Building Walls</v>
      </c>
      <c r="D69" s="96" t="str">
        <f t="shared" si="3"/>
        <v xml:space="preserve">                        Servicing Facility Security Building Walls</v>
      </c>
      <c r="E69" s="96" t="s">
        <v>35</v>
      </c>
      <c r="F69" s="96" t="s">
        <v>565</v>
      </c>
      <c r="G69" s="97">
        <v>1</v>
      </c>
      <c r="H69" s="96"/>
      <c r="I69" s="96"/>
      <c r="J69" s="102"/>
      <c r="K69" s="102">
        <f>721.21</f>
        <v>721.21</v>
      </c>
      <c r="L69" s="103" t="s">
        <v>80</v>
      </c>
      <c r="M69" s="101" t="str">
        <f>_xlfn.CONCAT(C69, " Volume")</f>
        <v>Servicing Facility Security Building Walls Volume</v>
      </c>
      <c r="N69" s="104"/>
      <c r="O69" s="103" t="s">
        <v>82</v>
      </c>
      <c r="P69" s="112"/>
      <c r="Q69" s="105">
        <v>2024</v>
      </c>
      <c r="R69" s="103" t="s">
        <v>86</v>
      </c>
      <c r="S69" s="152"/>
      <c r="T69" s="152"/>
      <c r="U69" s="152"/>
      <c r="V69" s="108"/>
      <c r="W69" s="99" t="s">
        <v>43</v>
      </c>
      <c r="X69" s="109">
        <f>0.9*$I69</f>
        <v>0</v>
      </c>
      <c r="Y69" s="109">
        <f>1.5*J69</f>
        <v>0</v>
      </c>
      <c r="Z69" s="99" t="s">
        <v>44</v>
      </c>
      <c r="AA69" s="100">
        <f>0.9*K69</f>
        <v>649.08900000000006</v>
      </c>
      <c r="AB69" s="100">
        <f>1.3*K69</f>
        <v>937.57300000000009</v>
      </c>
      <c r="AC69" s="99" t="s">
        <v>44</v>
      </c>
      <c r="AD69" s="100" t="s">
        <v>45</v>
      </c>
      <c r="AE69" s="100" t="s">
        <v>46</v>
      </c>
      <c r="AF69" s="100" t="s">
        <v>47</v>
      </c>
      <c r="AG69" s="99" t="s">
        <v>48</v>
      </c>
    </row>
    <row r="70" spans="1:33" ht="40.5" customHeight="1" x14ac:dyDescent="0.2">
      <c r="A70" s="114">
        <v>214.89</v>
      </c>
      <c r="B70" s="95">
        <f t="shared" si="5"/>
        <v>4</v>
      </c>
      <c r="C70" s="101" t="s">
        <v>576</v>
      </c>
      <c r="D70" s="96" t="str">
        <f t="shared" si="3"/>
        <v xml:space="preserve">                        HVAC</v>
      </c>
      <c r="E70" s="96" t="s">
        <v>35</v>
      </c>
      <c r="F70" s="96" t="s">
        <v>565</v>
      </c>
      <c r="G70" s="97">
        <v>1</v>
      </c>
      <c r="H70" s="96"/>
      <c r="I70" s="96"/>
      <c r="J70" s="102"/>
      <c r="K70" s="102"/>
      <c r="L70" s="103" t="s">
        <v>80</v>
      </c>
      <c r="M70" s="101" t="str">
        <f>_xlfn.CONCAT(C66, " Volume")</f>
        <v>Servicing Facility Security Building Volume</v>
      </c>
      <c r="N70" s="104"/>
      <c r="O70" s="103" t="s">
        <v>82</v>
      </c>
      <c r="P70" s="112"/>
      <c r="Q70" s="105"/>
      <c r="R70" s="103"/>
      <c r="S70" s="106"/>
      <c r="T70" s="106"/>
      <c r="U70" s="107"/>
      <c r="V70" s="108"/>
      <c r="W70" s="99" t="s">
        <v>43</v>
      </c>
      <c r="X70" s="109">
        <f>0.9*$I70</f>
        <v>0</v>
      </c>
      <c r="Y70" s="109">
        <f>1.5*J70</f>
        <v>0</v>
      </c>
      <c r="Z70" s="99" t="s">
        <v>44</v>
      </c>
      <c r="AA70" s="100">
        <f>0.9*K70</f>
        <v>0</v>
      </c>
      <c r="AB70" s="100">
        <f>1.3*K70</f>
        <v>0</v>
      </c>
      <c r="AC70" s="99" t="s">
        <v>44</v>
      </c>
      <c r="AD70" s="100" t="s">
        <v>45</v>
      </c>
      <c r="AE70" s="100" t="s">
        <v>46</v>
      </c>
      <c r="AF70" s="100" t="s">
        <v>47</v>
      </c>
      <c r="AG70" s="99" t="s">
        <v>48</v>
      </c>
    </row>
    <row r="71" spans="1:33" ht="39" customHeight="1" x14ac:dyDescent="0.2">
      <c r="A71" s="114">
        <v>214.9</v>
      </c>
      <c r="B71" s="95">
        <f t="shared" si="5"/>
        <v>3</v>
      </c>
      <c r="C71" s="101" t="s">
        <v>567</v>
      </c>
      <c r="D71" s="96" t="str">
        <f t="shared" si="3"/>
        <v xml:space="preserve">                  Security Fencing</v>
      </c>
      <c r="E71" s="96" t="s">
        <v>35</v>
      </c>
      <c r="F71" s="96" t="s">
        <v>565</v>
      </c>
      <c r="G71" s="97">
        <v>1</v>
      </c>
      <c r="H71" s="96"/>
      <c r="I71" s="96"/>
      <c r="J71" s="102"/>
      <c r="K71" s="102">
        <f>75/0.3048</f>
        <v>246.06299212598424</v>
      </c>
      <c r="L71" s="103" t="s">
        <v>568</v>
      </c>
      <c r="M71" s="103" t="s">
        <v>591</v>
      </c>
      <c r="N71" s="104"/>
      <c r="O71" s="103"/>
      <c r="P71" s="112"/>
      <c r="Q71" s="105">
        <v>2009</v>
      </c>
      <c r="R71" s="103" t="s">
        <v>73</v>
      </c>
      <c r="S71" s="106" t="s">
        <v>570</v>
      </c>
      <c r="T71" s="106" t="s">
        <v>571</v>
      </c>
      <c r="U71" s="116" t="s">
        <v>572</v>
      </c>
      <c r="V71" s="108"/>
      <c r="W71" s="99" t="s">
        <v>43</v>
      </c>
      <c r="X71" s="109">
        <f>0.9*$J71</f>
        <v>0</v>
      </c>
      <c r="Y71" s="109">
        <f>1.5*J71</f>
        <v>0</v>
      </c>
      <c r="Z71" s="99" t="s">
        <v>44</v>
      </c>
      <c r="AA71" s="100">
        <f>0.9*K71</f>
        <v>221.45669291338581</v>
      </c>
      <c r="AB71" s="100">
        <f>1.3*K71</f>
        <v>319.8818897637795</v>
      </c>
      <c r="AC71" s="99" t="s">
        <v>44</v>
      </c>
      <c r="AD71" s="100" t="s">
        <v>45</v>
      </c>
      <c r="AE71" s="100" t="s">
        <v>46</v>
      </c>
      <c r="AF71" s="100" t="s">
        <v>47</v>
      </c>
      <c r="AG71" s="99" t="s">
        <v>48</v>
      </c>
    </row>
    <row r="72" spans="1:33" x14ac:dyDescent="0.2">
      <c r="A72" s="114">
        <v>215</v>
      </c>
      <c r="B72" s="95">
        <f t="shared" si="5"/>
        <v>2</v>
      </c>
      <c r="C72" s="101" t="s">
        <v>592</v>
      </c>
      <c r="D72" s="96" t="str">
        <f t="shared" si="3"/>
        <v xml:space="preserve">            New Reactor Fuel and Testing Facility</v>
      </c>
      <c r="E72" s="96"/>
      <c r="F72" s="96"/>
      <c r="G72" s="97"/>
      <c r="H72" s="96"/>
      <c r="I72" s="96"/>
      <c r="J72" s="102"/>
      <c r="K72" s="102"/>
      <c r="L72" s="104"/>
      <c r="M72" s="113"/>
      <c r="N72" s="104"/>
      <c r="O72" s="104"/>
      <c r="P72" s="112"/>
      <c r="Q72" s="112"/>
      <c r="R72" s="104"/>
      <c r="S72" s="113"/>
      <c r="T72" s="106"/>
      <c r="U72" s="107"/>
      <c r="V72" s="108"/>
      <c r="W72" s="99"/>
      <c r="X72" s="109"/>
      <c r="Y72" s="109"/>
      <c r="Z72" s="99"/>
      <c r="AA72" s="100"/>
      <c r="AB72" s="100"/>
      <c r="AC72" s="99"/>
      <c r="AD72" s="100"/>
      <c r="AE72" s="100"/>
      <c r="AF72" s="100"/>
      <c r="AG72" s="99"/>
    </row>
    <row r="73" spans="1:33" ht="25.5" customHeight="1" x14ac:dyDescent="0.2">
      <c r="A73" s="114">
        <v>215.1</v>
      </c>
      <c r="B73" s="95">
        <f t="shared" si="5"/>
        <v>3</v>
      </c>
      <c r="C73" s="101" t="s">
        <v>593</v>
      </c>
      <c r="D73" s="96" t="str">
        <f t="shared" si="3"/>
        <v xml:space="preserve">                  Fresh Fuel Storage and Inspection Building</v>
      </c>
      <c r="E73" s="96"/>
      <c r="F73" s="96"/>
      <c r="G73" s="97"/>
      <c r="H73" s="96"/>
      <c r="I73" s="96"/>
      <c r="J73" s="102"/>
      <c r="K73" s="102"/>
      <c r="L73" s="104"/>
      <c r="M73" s="113"/>
      <c r="N73" s="104"/>
      <c r="O73" s="104"/>
      <c r="P73" s="112"/>
      <c r="Q73" s="112"/>
      <c r="R73" s="104"/>
      <c r="S73" s="113"/>
      <c r="T73" s="106"/>
      <c r="U73" s="107"/>
      <c r="V73" s="108"/>
      <c r="W73" s="99"/>
      <c r="X73" s="109"/>
      <c r="Y73" s="109"/>
      <c r="Z73" s="99"/>
      <c r="AA73" s="100"/>
      <c r="AB73" s="100"/>
      <c r="AC73" s="99"/>
      <c r="AD73" s="100"/>
      <c r="AE73" s="100"/>
      <c r="AF73" s="100"/>
      <c r="AG73" s="99"/>
    </row>
    <row r="74" spans="1:33" ht="67.5" customHeight="1" x14ac:dyDescent="0.2">
      <c r="A74" s="114">
        <v>215.11</v>
      </c>
      <c r="B74" s="95">
        <f t="shared" si="5"/>
        <v>4</v>
      </c>
      <c r="C74" s="101" t="str">
        <f>_xlfn.CONCAT(C73," Roof")</f>
        <v>Fresh Fuel Storage and Inspection Building Roof</v>
      </c>
      <c r="D74" s="96" t="str">
        <f t="shared" si="3"/>
        <v xml:space="preserve">                        Fresh Fuel Storage and Inspection Building Roof</v>
      </c>
      <c r="E74" s="96" t="s">
        <v>35</v>
      </c>
      <c r="F74" s="96" t="s">
        <v>565</v>
      </c>
      <c r="G74" s="97">
        <v>1</v>
      </c>
      <c r="H74" s="96"/>
      <c r="I74" s="96"/>
      <c r="J74" s="102"/>
      <c r="K74" s="102">
        <f>1200 *1.53</f>
        <v>1836</v>
      </c>
      <c r="L74" s="103" t="s">
        <v>80</v>
      </c>
      <c r="M74" s="101" t="str">
        <f>_xlfn.CONCAT(C74, " Volume")</f>
        <v>Fresh Fuel Storage and Inspection Building Roof Volume</v>
      </c>
      <c r="N74" s="104"/>
      <c r="O74" s="103" t="s">
        <v>82</v>
      </c>
      <c r="P74" s="112"/>
      <c r="Q74" s="105">
        <v>2024</v>
      </c>
      <c r="R74" s="103" t="s">
        <v>86</v>
      </c>
      <c r="S74" s="160" t="s">
        <v>74</v>
      </c>
      <c r="T74" s="160" t="s">
        <v>75</v>
      </c>
      <c r="U74" s="162" t="s">
        <v>76</v>
      </c>
      <c r="V74" s="108"/>
      <c r="W74" s="99" t="s">
        <v>43</v>
      </c>
      <c r="X74" s="109">
        <f>0.9*$I74</f>
        <v>0</v>
      </c>
      <c r="Y74" s="109">
        <f>1.5*J74</f>
        <v>0</v>
      </c>
      <c r="Z74" s="99" t="s">
        <v>44</v>
      </c>
      <c r="AA74" s="100">
        <f>0.9*K74</f>
        <v>1652.4</v>
      </c>
      <c r="AB74" s="100">
        <f>1.3*K74</f>
        <v>2386.8000000000002</v>
      </c>
      <c r="AC74" s="99" t="s">
        <v>44</v>
      </c>
      <c r="AD74" s="100" t="s">
        <v>45</v>
      </c>
      <c r="AE74" s="100" t="s">
        <v>46</v>
      </c>
      <c r="AF74" s="100" t="s">
        <v>47</v>
      </c>
      <c r="AG74" s="99" t="s">
        <v>48</v>
      </c>
    </row>
    <row r="75" spans="1:33" ht="67.5" customHeight="1" x14ac:dyDescent="0.2">
      <c r="A75" s="114">
        <v>215.12</v>
      </c>
      <c r="B75" s="95">
        <f t="shared" si="5"/>
        <v>4</v>
      </c>
      <c r="C75" s="101" t="str">
        <f>_xlfn.CONCAT(C73," Basement")</f>
        <v>Fresh Fuel Storage and Inspection Building Basement</v>
      </c>
      <c r="D75" s="96" t="str">
        <f t="shared" si="3"/>
        <v xml:space="preserve">                        Fresh Fuel Storage and Inspection Building Basement</v>
      </c>
      <c r="E75" s="96" t="s">
        <v>35</v>
      </c>
      <c r="F75" s="96" t="s">
        <v>565</v>
      </c>
      <c r="G75" s="97">
        <v>1</v>
      </c>
      <c r="H75" s="96"/>
      <c r="I75" s="96"/>
      <c r="J75" s="102"/>
      <c r="K75" s="102">
        <f>943.9*1.53</f>
        <v>1444.1669999999999</v>
      </c>
      <c r="L75" s="103" t="s">
        <v>80</v>
      </c>
      <c r="M75" s="101" t="str">
        <f>_xlfn.CONCAT(C75, " Volume")</f>
        <v>Fresh Fuel Storage and Inspection Building Basement Volume</v>
      </c>
      <c r="N75" s="104"/>
      <c r="O75" s="103" t="s">
        <v>82</v>
      </c>
      <c r="P75" s="112"/>
      <c r="Q75" s="105">
        <v>2024</v>
      </c>
      <c r="R75" s="103" t="s">
        <v>86</v>
      </c>
      <c r="S75" s="161"/>
      <c r="T75" s="161"/>
      <c r="U75" s="161"/>
      <c r="V75" s="108"/>
      <c r="W75" s="99" t="s">
        <v>43</v>
      </c>
      <c r="X75" s="109">
        <f>0.9*$I75</f>
        <v>0</v>
      </c>
      <c r="Y75" s="109">
        <f>1.5*J75</f>
        <v>0</v>
      </c>
      <c r="Z75" s="99" t="s">
        <v>44</v>
      </c>
      <c r="AA75" s="100">
        <f>0.9*K75</f>
        <v>1299.7502999999999</v>
      </c>
      <c r="AB75" s="100">
        <f>1.3*K75</f>
        <v>1877.4170999999999</v>
      </c>
      <c r="AC75" s="99" t="s">
        <v>44</v>
      </c>
      <c r="AD75" s="100" t="s">
        <v>45</v>
      </c>
      <c r="AE75" s="100" t="s">
        <v>46</v>
      </c>
      <c r="AF75" s="100" t="s">
        <v>47</v>
      </c>
      <c r="AG75" s="99" t="s">
        <v>48</v>
      </c>
    </row>
    <row r="76" spans="1:33" ht="67.5" customHeight="1" x14ac:dyDescent="0.2">
      <c r="A76" s="114">
        <v>215.13</v>
      </c>
      <c r="B76" s="95">
        <f t="shared" si="5"/>
        <v>4</v>
      </c>
      <c r="C76" s="101" t="str">
        <f>_xlfn.CONCAT(C73," Walls")</f>
        <v>Fresh Fuel Storage and Inspection Building Walls</v>
      </c>
      <c r="D76" s="96" t="str">
        <f t="shared" si="3"/>
        <v xml:space="preserve">                        Fresh Fuel Storage and Inspection Building Walls</v>
      </c>
      <c r="E76" s="96" t="s">
        <v>35</v>
      </c>
      <c r="F76" s="96" t="s">
        <v>565</v>
      </c>
      <c r="G76" s="97">
        <v>1</v>
      </c>
      <c r="H76" s="96"/>
      <c r="I76" s="96"/>
      <c r="J76" s="102"/>
      <c r="K76" s="102">
        <f>721.21*1.53</f>
        <v>1103.4513000000002</v>
      </c>
      <c r="L76" s="103" t="s">
        <v>80</v>
      </c>
      <c r="M76" s="101" t="str">
        <f>_xlfn.CONCAT(C76, " Volume")</f>
        <v>Fresh Fuel Storage and Inspection Building Walls Volume</v>
      </c>
      <c r="N76" s="104"/>
      <c r="O76" s="103" t="s">
        <v>82</v>
      </c>
      <c r="P76" s="112"/>
      <c r="Q76" s="105">
        <v>2024</v>
      </c>
      <c r="R76" s="103" t="s">
        <v>86</v>
      </c>
      <c r="S76" s="152"/>
      <c r="T76" s="152"/>
      <c r="U76" s="152"/>
      <c r="V76" s="108"/>
      <c r="W76" s="99" t="s">
        <v>43</v>
      </c>
      <c r="X76" s="109">
        <f>0.9*$I76</f>
        <v>0</v>
      </c>
      <c r="Y76" s="109">
        <f>1.5*J76</f>
        <v>0</v>
      </c>
      <c r="Z76" s="99" t="s">
        <v>44</v>
      </c>
      <c r="AA76" s="100">
        <f>0.9*K76</f>
        <v>993.10617000000013</v>
      </c>
      <c r="AB76" s="100">
        <f>1.3*K76</f>
        <v>1434.4866900000002</v>
      </c>
      <c r="AC76" s="99" t="s">
        <v>44</v>
      </c>
      <c r="AD76" s="100" t="s">
        <v>45</v>
      </c>
      <c r="AE76" s="100" t="s">
        <v>46</v>
      </c>
      <c r="AF76" s="100" t="s">
        <v>47</v>
      </c>
      <c r="AG76" s="99" t="s">
        <v>48</v>
      </c>
    </row>
    <row r="77" spans="1:33" ht="54" customHeight="1" x14ac:dyDescent="0.2">
      <c r="A77" s="114">
        <v>215.19</v>
      </c>
      <c r="B77" s="95">
        <f t="shared" si="5"/>
        <v>4</v>
      </c>
      <c r="C77" s="101" t="s">
        <v>576</v>
      </c>
      <c r="D77" s="96" t="str">
        <f t="shared" si="3"/>
        <v xml:space="preserve">                        HVAC</v>
      </c>
      <c r="E77" s="96" t="s">
        <v>35</v>
      </c>
      <c r="F77" s="96" t="s">
        <v>565</v>
      </c>
      <c r="G77" s="97">
        <v>1</v>
      </c>
      <c r="H77" s="96"/>
      <c r="I77" s="96"/>
      <c r="J77" s="102"/>
      <c r="K77" s="102"/>
      <c r="L77" s="103" t="s">
        <v>80</v>
      </c>
      <c r="M77" s="101" t="str">
        <f>_xlfn.CONCAT(C73, " Volume")</f>
        <v>Fresh Fuel Storage and Inspection Building Volume</v>
      </c>
      <c r="N77" s="104"/>
      <c r="O77" s="103" t="s">
        <v>82</v>
      </c>
      <c r="P77" s="112"/>
      <c r="Q77" s="105"/>
      <c r="R77" s="103"/>
      <c r="S77" s="106"/>
      <c r="T77" s="106"/>
      <c r="U77" s="107"/>
      <c r="V77" s="108"/>
      <c r="W77" s="99" t="s">
        <v>43</v>
      </c>
      <c r="X77" s="109">
        <f>0.9*$I77</f>
        <v>0</v>
      </c>
      <c r="Y77" s="109">
        <f>1.5*J77</f>
        <v>0</v>
      </c>
      <c r="Z77" s="99" t="s">
        <v>44</v>
      </c>
      <c r="AA77" s="100">
        <f>0.9*K77</f>
        <v>0</v>
      </c>
      <c r="AB77" s="100">
        <f>1.3*K77</f>
        <v>0</v>
      </c>
      <c r="AC77" s="99" t="s">
        <v>44</v>
      </c>
      <c r="AD77" s="100" t="s">
        <v>45</v>
      </c>
      <c r="AE77" s="100" t="s">
        <v>46</v>
      </c>
      <c r="AF77" s="100" t="s">
        <v>47</v>
      </c>
      <c r="AG77" s="99" t="s">
        <v>48</v>
      </c>
    </row>
    <row r="78" spans="1:33" x14ac:dyDescent="0.2">
      <c r="A78" s="114">
        <v>215.2</v>
      </c>
      <c r="B78" s="95">
        <f t="shared" si="5"/>
        <v>3</v>
      </c>
      <c r="C78" s="101" t="s">
        <v>594</v>
      </c>
      <c r="D78" s="96" t="str">
        <f t="shared" si="3"/>
        <v xml:space="preserve">                  Reactor Fueling Building</v>
      </c>
      <c r="E78" s="96"/>
      <c r="F78" s="96"/>
      <c r="G78" s="97"/>
      <c r="H78" s="96"/>
      <c r="I78" s="96"/>
      <c r="J78" s="102"/>
      <c r="K78" s="102"/>
      <c r="L78" s="104"/>
      <c r="M78" s="113"/>
      <c r="N78" s="104"/>
      <c r="O78" s="104"/>
      <c r="P78" s="112"/>
      <c r="Q78" s="112"/>
      <c r="R78" s="104"/>
      <c r="S78" s="113"/>
      <c r="T78" s="106"/>
      <c r="U78" s="107"/>
      <c r="V78" s="108"/>
      <c r="W78" s="99"/>
      <c r="X78" s="109"/>
      <c r="Y78" s="109"/>
      <c r="Z78" s="99"/>
      <c r="AA78" s="100"/>
      <c r="AB78" s="100"/>
      <c r="AC78" s="99"/>
      <c r="AD78" s="100"/>
      <c r="AE78" s="100"/>
      <c r="AF78" s="100"/>
      <c r="AG78" s="99"/>
    </row>
    <row r="79" spans="1:33" ht="40.5" customHeight="1" x14ac:dyDescent="0.2">
      <c r="A79" s="114">
        <v>215.21</v>
      </c>
      <c r="B79" s="95">
        <f t="shared" si="5"/>
        <v>4</v>
      </c>
      <c r="C79" s="101" t="str">
        <f>_xlfn.CONCAT(C78," Roof")</f>
        <v>Reactor Fueling Building Roof</v>
      </c>
      <c r="D79" s="96" t="str">
        <f t="shared" si="3"/>
        <v xml:space="preserve">                        Reactor Fueling Building Roof</v>
      </c>
      <c r="E79" s="96" t="s">
        <v>35</v>
      </c>
      <c r="F79" s="96" t="s">
        <v>565</v>
      </c>
      <c r="G79" s="97">
        <v>1</v>
      </c>
      <c r="H79" s="96"/>
      <c r="I79" s="96"/>
      <c r="J79" s="102"/>
      <c r="K79" s="102">
        <f>1200 *1.53</f>
        <v>1836</v>
      </c>
      <c r="L79" s="103" t="s">
        <v>80</v>
      </c>
      <c r="M79" s="101" t="str">
        <f>_xlfn.CONCAT(C79, " Volume")</f>
        <v>Reactor Fueling Building Roof Volume</v>
      </c>
      <c r="N79" s="104"/>
      <c r="O79" s="103" t="s">
        <v>82</v>
      </c>
      <c r="P79" s="112"/>
      <c r="Q79" s="105">
        <v>2024</v>
      </c>
      <c r="R79" s="103" t="s">
        <v>86</v>
      </c>
      <c r="S79" s="160" t="s">
        <v>74</v>
      </c>
      <c r="T79" s="160" t="s">
        <v>75</v>
      </c>
      <c r="U79" s="162" t="s">
        <v>76</v>
      </c>
      <c r="V79" s="108"/>
      <c r="W79" s="99" t="s">
        <v>43</v>
      </c>
      <c r="X79" s="109">
        <f>0.9*$I79</f>
        <v>0</v>
      </c>
      <c r="Y79" s="109">
        <f>1.5*J79</f>
        <v>0</v>
      </c>
      <c r="Z79" s="99" t="s">
        <v>44</v>
      </c>
      <c r="AA79" s="100">
        <f>0.9*K79</f>
        <v>1652.4</v>
      </c>
      <c r="AB79" s="100">
        <f>1.3*K79</f>
        <v>2386.8000000000002</v>
      </c>
      <c r="AC79" s="99" t="s">
        <v>44</v>
      </c>
      <c r="AD79" s="100" t="s">
        <v>45</v>
      </c>
      <c r="AE79" s="100" t="s">
        <v>46</v>
      </c>
      <c r="AF79" s="100" t="s">
        <v>47</v>
      </c>
      <c r="AG79" s="99" t="s">
        <v>48</v>
      </c>
    </row>
    <row r="80" spans="1:33" ht="40.5" customHeight="1" x14ac:dyDescent="0.2">
      <c r="A80" s="114">
        <v>215.22</v>
      </c>
      <c r="B80" s="95">
        <f t="shared" si="5"/>
        <v>4</v>
      </c>
      <c r="C80" s="101" t="str">
        <f>_xlfn.CONCAT(C78," Basement")</f>
        <v>Reactor Fueling Building Basement</v>
      </c>
      <c r="D80" s="96" t="str">
        <f t="shared" si="3"/>
        <v xml:space="preserve">                        Reactor Fueling Building Basement</v>
      </c>
      <c r="E80" s="96" t="s">
        <v>35</v>
      </c>
      <c r="F80" s="96" t="s">
        <v>565</v>
      </c>
      <c r="G80" s="97">
        <v>1</v>
      </c>
      <c r="H80" s="96"/>
      <c r="I80" s="96"/>
      <c r="J80" s="102"/>
      <c r="K80" s="102">
        <f>943.9*1.53</f>
        <v>1444.1669999999999</v>
      </c>
      <c r="L80" s="103" t="s">
        <v>80</v>
      </c>
      <c r="M80" s="101" t="str">
        <f>_xlfn.CONCAT(C80, " Volume")</f>
        <v>Reactor Fueling Building Basement Volume</v>
      </c>
      <c r="N80" s="104"/>
      <c r="O80" s="103" t="s">
        <v>82</v>
      </c>
      <c r="P80" s="112"/>
      <c r="Q80" s="105">
        <v>2024</v>
      </c>
      <c r="R80" s="103" t="s">
        <v>86</v>
      </c>
      <c r="S80" s="161"/>
      <c r="T80" s="161"/>
      <c r="U80" s="161"/>
      <c r="V80" s="108"/>
      <c r="W80" s="99" t="s">
        <v>43</v>
      </c>
      <c r="X80" s="109">
        <f>0.9*$I80</f>
        <v>0</v>
      </c>
      <c r="Y80" s="109">
        <f>1.5*J80</f>
        <v>0</v>
      </c>
      <c r="Z80" s="99" t="s">
        <v>44</v>
      </c>
      <c r="AA80" s="100">
        <f>0.9*K80</f>
        <v>1299.7502999999999</v>
      </c>
      <c r="AB80" s="100">
        <f>1.3*K80</f>
        <v>1877.4170999999999</v>
      </c>
      <c r="AC80" s="99" t="s">
        <v>44</v>
      </c>
      <c r="AD80" s="100" t="s">
        <v>45</v>
      </c>
      <c r="AE80" s="100" t="s">
        <v>46</v>
      </c>
      <c r="AF80" s="100" t="s">
        <v>47</v>
      </c>
      <c r="AG80" s="99" t="s">
        <v>48</v>
      </c>
    </row>
    <row r="81" spans="1:33" ht="40.5" customHeight="1" x14ac:dyDescent="0.2">
      <c r="A81" s="114">
        <v>215.23</v>
      </c>
      <c r="B81" s="95">
        <f t="shared" si="5"/>
        <v>4</v>
      </c>
      <c r="C81" s="101" t="str">
        <f>_xlfn.CONCAT(C78," Walls")</f>
        <v>Reactor Fueling Building Walls</v>
      </c>
      <c r="D81" s="96" t="str">
        <f t="shared" si="3"/>
        <v xml:space="preserve">                        Reactor Fueling Building Walls</v>
      </c>
      <c r="E81" s="96" t="s">
        <v>35</v>
      </c>
      <c r="F81" s="96" t="s">
        <v>565</v>
      </c>
      <c r="G81" s="97">
        <v>1</v>
      </c>
      <c r="H81" s="96"/>
      <c r="I81" s="96"/>
      <c r="J81" s="102"/>
      <c r="K81" s="102">
        <f>721.21*1.53</f>
        <v>1103.4513000000002</v>
      </c>
      <c r="L81" s="103" t="s">
        <v>80</v>
      </c>
      <c r="M81" s="101" t="str">
        <f>_xlfn.CONCAT(C81, " Volume")</f>
        <v>Reactor Fueling Building Walls Volume</v>
      </c>
      <c r="N81" s="104"/>
      <c r="O81" s="103" t="s">
        <v>82</v>
      </c>
      <c r="P81" s="112"/>
      <c r="Q81" s="105">
        <v>2024</v>
      </c>
      <c r="R81" s="103" t="s">
        <v>86</v>
      </c>
      <c r="S81" s="152"/>
      <c r="T81" s="152"/>
      <c r="U81" s="152"/>
      <c r="V81" s="108"/>
      <c r="W81" s="99" t="s">
        <v>43</v>
      </c>
      <c r="X81" s="109">
        <f>0.9*$I81</f>
        <v>0</v>
      </c>
      <c r="Y81" s="109">
        <f>1.5*J81</f>
        <v>0</v>
      </c>
      <c r="Z81" s="99" t="s">
        <v>44</v>
      </c>
      <c r="AA81" s="100">
        <f>0.9*K81</f>
        <v>993.10617000000013</v>
      </c>
      <c r="AB81" s="100">
        <f>1.3*K81</f>
        <v>1434.4866900000002</v>
      </c>
      <c r="AC81" s="99" t="s">
        <v>44</v>
      </c>
      <c r="AD81" s="100" t="s">
        <v>45</v>
      </c>
      <c r="AE81" s="100" t="s">
        <v>46</v>
      </c>
      <c r="AF81" s="100" t="s">
        <v>47</v>
      </c>
      <c r="AG81" s="99" t="s">
        <v>48</v>
      </c>
    </row>
    <row r="82" spans="1:33" ht="38.25" customHeight="1" x14ac:dyDescent="0.2">
      <c r="A82" s="114">
        <v>215.24</v>
      </c>
      <c r="B82" s="95">
        <f t="shared" si="5"/>
        <v>4</v>
      </c>
      <c r="C82" s="101" t="s">
        <v>595</v>
      </c>
      <c r="D82" s="96" t="str">
        <f t="shared" si="3"/>
        <v xml:space="preserve">                        Reactor Fueling Hot Cell</v>
      </c>
      <c r="E82" s="96" t="s">
        <v>35</v>
      </c>
      <c r="F82" s="96" t="s">
        <v>596</v>
      </c>
      <c r="G82" s="97"/>
      <c r="H82" s="96"/>
      <c r="I82" s="96"/>
      <c r="J82" s="102"/>
      <c r="K82" s="102"/>
      <c r="L82" s="104"/>
      <c r="M82" s="113"/>
      <c r="N82" s="104"/>
      <c r="O82" s="104"/>
      <c r="P82" s="112"/>
      <c r="Q82" s="112"/>
      <c r="R82" s="104"/>
      <c r="S82" s="113"/>
      <c r="T82" s="106"/>
      <c r="U82" s="107"/>
      <c r="V82" s="108"/>
      <c r="W82" s="99" t="s">
        <v>43</v>
      </c>
      <c r="X82" s="109">
        <f>0.8*$I82</f>
        <v>0</v>
      </c>
      <c r="Y82" s="109">
        <f>2*J82</f>
        <v>0</v>
      </c>
      <c r="Z82" s="99" t="s">
        <v>44</v>
      </c>
      <c r="AA82" s="100">
        <f>0.8*K82</f>
        <v>0</v>
      </c>
      <c r="AB82" s="100">
        <f>2*K82</f>
        <v>0</v>
      </c>
      <c r="AC82" s="99" t="s">
        <v>44</v>
      </c>
      <c r="AD82" s="100" t="s">
        <v>45</v>
      </c>
      <c r="AE82" s="100" t="s">
        <v>46</v>
      </c>
      <c r="AF82" s="100" t="s">
        <v>47</v>
      </c>
      <c r="AG82" s="99" t="s">
        <v>48</v>
      </c>
    </row>
    <row r="83" spans="1:33" ht="25.5" customHeight="1" x14ac:dyDescent="0.2">
      <c r="A83" s="114">
        <v>215.24100000000001</v>
      </c>
      <c r="B83" s="95">
        <f t="shared" si="5"/>
        <v>5</v>
      </c>
      <c r="C83" s="101" t="s">
        <v>586</v>
      </c>
      <c r="D83" s="96" t="str">
        <f t="shared" si="3"/>
        <v xml:space="preserve">                              Hot Cell Airlock</v>
      </c>
      <c r="E83" s="96" t="s">
        <v>35</v>
      </c>
      <c r="F83" s="96" t="s">
        <v>585</v>
      </c>
      <c r="G83" s="97">
        <v>4</v>
      </c>
      <c r="H83" s="96"/>
      <c r="I83" s="96"/>
      <c r="J83" s="102"/>
      <c r="K83" s="102"/>
      <c r="L83" s="104"/>
      <c r="M83" s="113"/>
      <c r="N83" s="104"/>
      <c r="O83" s="104"/>
      <c r="P83" s="112"/>
      <c r="Q83" s="112"/>
      <c r="R83" s="104"/>
      <c r="S83" s="113"/>
      <c r="T83" s="106"/>
      <c r="U83" s="107"/>
      <c r="V83" s="108"/>
      <c r="W83" s="99" t="s">
        <v>43</v>
      </c>
      <c r="X83" s="109">
        <f>0.8*$I83</f>
        <v>0</v>
      </c>
      <c r="Y83" s="109">
        <f>2*J83</f>
        <v>0</v>
      </c>
      <c r="Z83" s="99" t="s">
        <v>44</v>
      </c>
      <c r="AA83" s="100">
        <f>0.8*K83</f>
        <v>0</v>
      </c>
      <c r="AB83" s="100">
        <f>2*K83</f>
        <v>0</v>
      </c>
      <c r="AC83" s="99" t="s">
        <v>44</v>
      </c>
      <c r="AD83" s="100" t="s">
        <v>45</v>
      </c>
      <c r="AE83" s="100" t="s">
        <v>46</v>
      </c>
      <c r="AF83" s="100" t="s">
        <v>47</v>
      </c>
      <c r="AG83" s="99" t="s">
        <v>48</v>
      </c>
    </row>
    <row r="84" spans="1:33" ht="27" customHeight="1" x14ac:dyDescent="0.2">
      <c r="A84" s="114">
        <v>215.29</v>
      </c>
      <c r="B84" s="95">
        <f t="shared" si="5"/>
        <v>4</v>
      </c>
      <c r="C84" s="101" t="s">
        <v>576</v>
      </c>
      <c r="D84" s="96" t="str">
        <f t="shared" si="3"/>
        <v xml:space="preserve">                        HVAC</v>
      </c>
      <c r="E84" s="96" t="s">
        <v>35</v>
      </c>
      <c r="F84" s="96" t="s">
        <v>565</v>
      </c>
      <c r="G84" s="97">
        <v>1</v>
      </c>
      <c r="H84" s="96"/>
      <c r="I84" s="96"/>
      <c r="J84" s="102"/>
      <c r="K84" s="102"/>
      <c r="L84" s="103" t="s">
        <v>80</v>
      </c>
      <c r="M84" s="101" t="str">
        <f>_xlfn.CONCAT(C78, " Volume")</f>
        <v>Reactor Fueling Building Volume</v>
      </c>
      <c r="N84" s="104"/>
      <c r="O84" s="103" t="s">
        <v>82</v>
      </c>
      <c r="P84" s="112"/>
      <c r="Q84" s="105"/>
      <c r="R84" s="103"/>
      <c r="S84" s="106"/>
      <c r="T84" s="106"/>
      <c r="U84" s="107"/>
      <c r="V84" s="108"/>
      <c r="W84" s="99" t="s">
        <v>43</v>
      </c>
      <c r="X84" s="109">
        <f>0.9*$I84</f>
        <v>0</v>
      </c>
      <c r="Y84" s="109">
        <f>1.5*J84</f>
        <v>0</v>
      </c>
      <c r="Z84" s="99" t="s">
        <v>44</v>
      </c>
      <c r="AA84" s="100">
        <f>0.9*K84</f>
        <v>0</v>
      </c>
      <c r="AB84" s="100">
        <f>1.3*K84</f>
        <v>0</v>
      </c>
      <c r="AC84" s="99" t="s">
        <v>44</v>
      </c>
      <c r="AD84" s="100" t="s">
        <v>45</v>
      </c>
      <c r="AE84" s="100" t="s">
        <v>46</v>
      </c>
      <c r="AF84" s="100" t="s">
        <v>47</v>
      </c>
      <c r="AG84" s="99" t="s">
        <v>48</v>
      </c>
    </row>
    <row r="85" spans="1:33" x14ac:dyDescent="0.2">
      <c r="A85" s="114">
        <v>215.3</v>
      </c>
      <c r="B85" s="95">
        <f t="shared" si="5"/>
        <v>3</v>
      </c>
      <c r="C85" s="101" t="s">
        <v>710</v>
      </c>
      <c r="D85" s="96" t="str">
        <f>REPT("   ", B85*2) &amp; C85</f>
        <v xml:space="preserve">                  Reactor Testing Building</v>
      </c>
      <c r="E85" s="96"/>
      <c r="F85" s="96"/>
      <c r="G85" s="97"/>
      <c r="H85" s="96"/>
      <c r="I85" s="96"/>
      <c r="J85" s="102"/>
      <c r="K85" s="102"/>
      <c r="L85" s="104"/>
      <c r="M85" s="113"/>
      <c r="N85" s="104"/>
      <c r="O85" s="104"/>
      <c r="P85" s="112"/>
      <c r="Q85" s="112"/>
      <c r="R85" s="104"/>
      <c r="S85" s="113"/>
      <c r="T85" s="106"/>
      <c r="U85" s="107"/>
      <c r="V85" s="108"/>
      <c r="W85" s="99"/>
      <c r="X85" s="109"/>
      <c r="Y85" s="109"/>
      <c r="Z85" s="99"/>
      <c r="AA85" s="100"/>
      <c r="AB85" s="100"/>
      <c r="AC85" s="99"/>
      <c r="AD85" s="100"/>
      <c r="AE85" s="100"/>
      <c r="AF85" s="100"/>
      <c r="AG85" s="99"/>
    </row>
    <row r="86" spans="1:33" ht="40.5" customHeight="1" x14ac:dyDescent="0.2">
      <c r="A86" s="114">
        <v>215.31</v>
      </c>
      <c r="B86" s="95">
        <f t="shared" si="5"/>
        <v>4</v>
      </c>
      <c r="C86" s="101" t="str">
        <f>_xlfn.CONCAT(C85," Roof")</f>
        <v>Reactor Testing Building Roof</v>
      </c>
      <c r="D86" s="96" t="str">
        <f t="shared" si="3"/>
        <v xml:space="preserve">                        Reactor Testing Building Roof</v>
      </c>
      <c r="E86" s="96" t="s">
        <v>35</v>
      </c>
      <c r="F86" s="96" t="s">
        <v>565</v>
      </c>
      <c r="G86" s="97">
        <v>1</v>
      </c>
      <c r="H86" s="96"/>
      <c r="I86" s="96"/>
      <c r="J86" s="102"/>
      <c r="K86" s="102">
        <f>1200 *1.53</f>
        <v>1836</v>
      </c>
      <c r="L86" s="103" t="s">
        <v>80</v>
      </c>
      <c r="M86" s="101" t="str">
        <f>_xlfn.CONCAT(C86, " Volume")</f>
        <v>Reactor Testing Building Roof Volume</v>
      </c>
      <c r="N86" s="104"/>
      <c r="O86" s="103" t="s">
        <v>82</v>
      </c>
      <c r="P86" s="112"/>
      <c r="Q86" s="105">
        <v>2024</v>
      </c>
      <c r="R86" s="103" t="s">
        <v>86</v>
      </c>
      <c r="S86" s="160" t="s">
        <v>74</v>
      </c>
      <c r="T86" s="160" t="s">
        <v>75</v>
      </c>
      <c r="U86" s="162" t="s">
        <v>76</v>
      </c>
      <c r="V86" s="108"/>
      <c r="W86" s="99" t="s">
        <v>43</v>
      </c>
      <c r="X86" s="109">
        <f>0.9*$I86</f>
        <v>0</v>
      </c>
      <c r="Y86" s="109">
        <f>1.5*J86</f>
        <v>0</v>
      </c>
      <c r="Z86" s="99" t="s">
        <v>44</v>
      </c>
      <c r="AA86" s="100">
        <f>0.9*K86</f>
        <v>1652.4</v>
      </c>
      <c r="AB86" s="100">
        <f>1.3*K86</f>
        <v>2386.8000000000002</v>
      </c>
      <c r="AC86" s="99" t="s">
        <v>44</v>
      </c>
      <c r="AD86" s="100" t="s">
        <v>45</v>
      </c>
      <c r="AE86" s="100" t="s">
        <v>46</v>
      </c>
      <c r="AF86" s="100" t="s">
        <v>47</v>
      </c>
      <c r="AG86" s="99" t="s">
        <v>48</v>
      </c>
    </row>
    <row r="87" spans="1:33" ht="40.5" customHeight="1" x14ac:dyDescent="0.2">
      <c r="A87" s="114">
        <v>215.32</v>
      </c>
      <c r="B87" s="95">
        <f t="shared" si="5"/>
        <v>4</v>
      </c>
      <c r="C87" s="101" t="str">
        <f>_xlfn.CONCAT(C85," Basement")</f>
        <v>Reactor Testing Building Basement</v>
      </c>
      <c r="D87" s="96" t="str">
        <f t="shared" si="3"/>
        <v xml:space="preserve">                        Reactor Testing Building Basement</v>
      </c>
      <c r="E87" s="96" t="s">
        <v>35</v>
      </c>
      <c r="F87" s="96" t="s">
        <v>565</v>
      </c>
      <c r="G87" s="97">
        <v>1</v>
      </c>
      <c r="H87" s="96"/>
      <c r="I87" s="96"/>
      <c r="J87" s="102"/>
      <c r="K87" s="102">
        <f>943.9*1.53</f>
        <v>1444.1669999999999</v>
      </c>
      <c r="L87" s="103" t="s">
        <v>80</v>
      </c>
      <c r="M87" s="101" t="str">
        <f>_xlfn.CONCAT(C87, " Volume")</f>
        <v>Reactor Testing Building Basement Volume</v>
      </c>
      <c r="N87" s="104"/>
      <c r="O87" s="103" t="s">
        <v>82</v>
      </c>
      <c r="P87" s="112"/>
      <c r="Q87" s="105">
        <v>2024</v>
      </c>
      <c r="R87" s="103" t="s">
        <v>86</v>
      </c>
      <c r="S87" s="161"/>
      <c r="T87" s="161"/>
      <c r="U87" s="161"/>
      <c r="V87" s="108"/>
      <c r="W87" s="99" t="s">
        <v>43</v>
      </c>
      <c r="X87" s="109">
        <f>0.9*$I87</f>
        <v>0</v>
      </c>
      <c r="Y87" s="109">
        <f>1.5*J87</f>
        <v>0</v>
      </c>
      <c r="Z87" s="99" t="s">
        <v>44</v>
      </c>
      <c r="AA87" s="100">
        <f>0.9*K87</f>
        <v>1299.7502999999999</v>
      </c>
      <c r="AB87" s="100">
        <f>1.3*K87</f>
        <v>1877.4170999999999</v>
      </c>
      <c r="AC87" s="99" t="s">
        <v>44</v>
      </c>
      <c r="AD87" s="100" t="s">
        <v>45</v>
      </c>
      <c r="AE87" s="100" t="s">
        <v>46</v>
      </c>
      <c r="AF87" s="100" t="s">
        <v>47</v>
      </c>
      <c r="AG87" s="99" t="s">
        <v>48</v>
      </c>
    </row>
    <row r="88" spans="1:33" ht="40.5" customHeight="1" x14ac:dyDescent="0.2">
      <c r="A88" s="114">
        <v>215.33</v>
      </c>
      <c r="B88" s="95">
        <f t="shared" si="5"/>
        <v>4</v>
      </c>
      <c r="C88" s="101" t="str">
        <f>_xlfn.CONCAT(C85," Walls")</f>
        <v>Reactor Testing Building Walls</v>
      </c>
      <c r="D88" s="96" t="str">
        <f t="shared" si="3"/>
        <v xml:space="preserve">                        Reactor Testing Building Walls</v>
      </c>
      <c r="E88" s="96" t="s">
        <v>35</v>
      </c>
      <c r="F88" s="96" t="s">
        <v>565</v>
      </c>
      <c r="G88" s="97">
        <v>1</v>
      </c>
      <c r="H88" s="96"/>
      <c r="I88" s="96"/>
      <c r="J88" s="102"/>
      <c r="K88" s="102">
        <f>721.21*1.53</f>
        <v>1103.4513000000002</v>
      </c>
      <c r="L88" s="103" t="s">
        <v>80</v>
      </c>
      <c r="M88" s="101" t="str">
        <f>_xlfn.CONCAT(C88, " Volume")</f>
        <v>Reactor Testing Building Walls Volume</v>
      </c>
      <c r="N88" s="104"/>
      <c r="O88" s="103" t="s">
        <v>82</v>
      </c>
      <c r="P88" s="112"/>
      <c r="Q88" s="105">
        <v>2024</v>
      </c>
      <c r="R88" s="103" t="s">
        <v>86</v>
      </c>
      <c r="S88" s="152"/>
      <c r="T88" s="152"/>
      <c r="U88" s="152"/>
      <c r="V88" s="108"/>
      <c r="W88" s="99" t="s">
        <v>43</v>
      </c>
      <c r="X88" s="109">
        <f>0.9*$I88</f>
        <v>0</v>
      </c>
      <c r="Y88" s="109">
        <f>1.5*J88</f>
        <v>0</v>
      </c>
      <c r="Z88" s="99" t="s">
        <v>44</v>
      </c>
      <c r="AA88" s="100">
        <f>0.9*K88</f>
        <v>993.10617000000013</v>
      </c>
      <c r="AB88" s="100">
        <f>1.3*K88</f>
        <v>1434.4866900000002</v>
      </c>
      <c r="AC88" s="99" t="s">
        <v>44</v>
      </c>
      <c r="AD88" s="100" t="s">
        <v>45</v>
      </c>
      <c r="AE88" s="100" t="s">
        <v>46</v>
      </c>
      <c r="AF88" s="100" t="s">
        <v>47</v>
      </c>
      <c r="AG88" s="99" t="s">
        <v>48</v>
      </c>
    </row>
    <row r="89" spans="1:33" ht="38.25" customHeight="1" x14ac:dyDescent="0.2">
      <c r="A89" s="114">
        <v>215.34</v>
      </c>
      <c r="B89" s="95">
        <f t="shared" si="5"/>
        <v>4</v>
      </c>
      <c r="C89" s="101" t="s">
        <v>597</v>
      </c>
      <c r="D89" s="96" t="str">
        <f t="shared" si="3"/>
        <v xml:space="preserve">                        Reactor Testing Hot Cell</v>
      </c>
      <c r="E89" s="96" t="s">
        <v>35</v>
      </c>
      <c r="F89" s="96" t="s">
        <v>598</v>
      </c>
      <c r="G89" s="97"/>
      <c r="H89" s="96"/>
      <c r="I89" s="96"/>
      <c r="J89" s="102"/>
      <c r="K89" s="102"/>
      <c r="L89" s="104"/>
      <c r="M89" s="113"/>
      <c r="N89" s="104"/>
      <c r="O89" s="104"/>
      <c r="P89" s="112"/>
      <c r="Q89" s="112"/>
      <c r="R89" s="104"/>
      <c r="S89" s="113"/>
      <c r="T89" s="106"/>
      <c r="U89" s="107"/>
      <c r="V89" s="108"/>
      <c r="W89" s="99" t="s">
        <v>43</v>
      </c>
      <c r="X89" s="109">
        <f>0.8*$I89</f>
        <v>0</v>
      </c>
      <c r="Y89" s="109">
        <f>2*J89</f>
        <v>0</v>
      </c>
      <c r="Z89" s="99" t="s">
        <v>44</v>
      </c>
      <c r="AA89" s="100">
        <f>0.8*K89</f>
        <v>0</v>
      </c>
      <c r="AB89" s="100">
        <f>2*K89</f>
        <v>0</v>
      </c>
      <c r="AC89" s="99" t="s">
        <v>44</v>
      </c>
      <c r="AD89" s="100" t="s">
        <v>45</v>
      </c>
      <c r="AE89" s="100" t="s">
        <v>46</v>
      </c>
      <c r="AF89" s="100" t="s">
        <v>47</v>
      </c>
      <c r="AG89" s="99" t="s">
        <v>48</v>
      </c>
    </row>
    <row r="90" spans="1:33" ht="38.25" customHeight="1" x14ac:dyDescent="0.2">
      <c r="A90" s="114">
        <v>215.34100000000001</v>
      </c>
      <c r="B90" s="95">
        <f t="shared" si="5"/>
        <v>5</v>
      </c>
      <c r="C90" s="101" t="s">
        <v>586</v>
      </c>
      <c r="D90" s="96" t="str">
        <f t="shared" si="3"/>
        <v xml:space="preserve">                              Hot Cell Airlock</v>
      </c>
      <c r="E90" s="96" t="s">
        <v>35</v>
      </c>
      <c r="F90" s="96" t="s">
        <v>596</v>
      </c>
      <c r="G90" s="97">
        <v>4</v>
      </c>
      <c r="H90" s="96"/>
      <c r="I90" s="96"/>
      <c r="J90" s="102"/>
      <c r="K90" s="102"/>
      <c r="L90" s="104"/>
      <c r="M90" s="113"/>
      <c r="N90" s="104"/>
      <c r="O90" s="104"/>
      <c r="P90" s="112"/>
      <c r="Q90" s="112"/>
      <c r="R90" s="104"/>
      <c r="S90" s="113"/>
      <c r="T90" s="106"/>
      <c r="U90" s="107"/>
      <c r="V90" s="108"/>
      <c r="W90" s="99" t="s">
        <v>43</v>
      </c>
      <c r="X90" s="109">
        <f>0.8*$I90</f>
        <v>0</v>
      </c>
      <c r="Y90" s="109">
        <f>2*J90</f>
        <v>0</v>
      </c>
      <c r="Z90" s="99" t="s">
        <v>44</v>
      </c>
      <c r="AA90" s="100">
        <f>0.8*K90</f>
        <v>0</v>
      </c>
      <c r="AB90" s="100">
        <f>2*K90</f>
        <v>0</v>
      </c>
      <c r="AC90" s="99" t="s">
        <v>44</v>
      </c>
      <c r="AD90" s="100" t="s">
        <v>45</v>
      </c>
      <c r="AE90" s="100" t="s">
        <v>46</v>
      </c>
      <c r="AF90" s="100" t="s">
        <v>47</v>
      </c>
      <c r="AG90" s="99" t="s">
        <v>48</v>
      </c>
    </row>
    <row r="91" spans="1:33" ht="27" customHeight="1" x14ac:dyDescent="0.2">
      <c r="A91" s="114">
        <v>215.39</v>
      </c>
      <c r="B91" s="95">
        <f t="shared" si="5"/>
        <v>4</v>
      </c>
      <c r="C91" s="101" t="s">
        <v>576</v>
      </c>
      <c r="D91" s="96" t="str">
        <f t="shared" si="3"/>
        <v xml:space="preserve">                        HVAC</v>
      </c>
      <c r="E91" s="96" t="s">
        <v>35</v>
      </c>
      <c r="F91" s="96" t="s">
        <v>565</v>
      </c>
      <c r="G91" s="97">
        <v>1</v>
      </c>
      <c r="H91" s="96"/>
      <c r="I91" s="96"/>
      <c r="J91" s="102"/>
      <c r="K91" s="102"/>
      <c r="L91" s="104"/>
      <c r="M91" s="101" t="str">
        <f>_xlfn.CONCAT(C85, " Volume")</f>
        <v>Reactor Testing Building Volume</v>
      </c>
      <c r="N91" s="104"/>
      <c r="O91" s="104"/>
      <c r="P91" s="112"/>
      <c r="Q91" s="112"/>
      <c r="R91" s="104"/>
      <c r="S91" s="113"/>
      <c r="T91" s="106"/>
      <c r="U91" s="107"/>
      <c r="V91" s="108"/>
      <c r="W91" s="99" t="s">
        <v>43</v>
      </c>
      <c r="X91" s="109">
        <f>0.9*$I91</f>
        <v>0</v>
      </c>
      <c r="Y91" s="109">
        <f>1.5*J91</f>
        <v>0</v>
      </c>
      <c r="Z91" s="99" t="s">
        <v>44</v>
      </c>
      <c r="AA91" s="100">
        <f>0.9*K91</f>
        <v>0</v>
      </c>
      <c r="AB91" s="100">
        <f>1.3*K91</f>
        <v>0</v>
      </c>
      <c r="AC91" s="99" t="s">
        <v>44</v>
      </c>
      <c r="AD91" s="100" t="s">
        <v>45</v>
      </c>
      <c r="AE91" s="100" t="s">
        <v>46</v>
      </c>
      <c r="AF91" s="100" t="s">
        <v>47</v>
      </c>
      <c r="AG91" s="99" t="s">
        <v>48</v>
      </c>
    </row>
    <row r="92" spans="1:33" ht="25.5" customHeight="1" x14ac:dyDescent="0.2">
      <c r="A92" s="114">
        <v>215.7</v>
      </c>
      <c r="B92" s="95">
        <f t="shared" si="5"/>
        <v>3</v>
      </c>
      <c r="C92" s="101" t="s">
        <v>599</v>
      </c>
      <c r="D92" s="96" t="str">
        <f t="shared" si="3"/>
        <v xml:space="preserve">                  New Reactor Fuel and Testing Facility Admin Building</v>
      </c>
      <c r="E92" s="96"/>
      <c r="F92" s="96"/>
      <c r="G92" s="97"/>
      <c r="H92" s="96"/>
      <c r="I92" s="96"/>
      <c r="J92" s="102"/>
      <c r="K92" s="102"/>
      <c r="L92" s="103"/>
      <c r="M92" s="106"/>
      <c r="N92" s="104"/>
      <c r="O92" s="103"/>
      <c r="P92" s="112"/>
      <c r="Q92" s="105"/>
      <c r="R92" s="103"/>
      <c r="S92" s="106"/>
      <c r="T92" s="106"/>
      <c r="U92" s="107"/>
      <c r="V92" s="108"/>
      <c r="W92" s="99"/>
      <c r="X92" s="109"/>
      <c r="Y92" s="109"/>
      <c r="Z92" s="99"/>
      <c r="AA92" s="100"/>
      <c r="AB92" s="100"/>
      <c r="AC92" s="99"/>
      <c r="AD92" s="100"/>
      <c r="AE92" s="100"/>
      <c r="AF92" s="100"/>
      <c r="AG92" s="99"/>
    </row>
    <row r="93" spans="1:33" ht="67.5" customHeight="1" x14ac:dyDescent="0.2">
      <c r="A93" s="114">
        <v>215.71</v>
      </c>
      <c r="B93" s="95">
        <f t="shared" si="5"/>
        <v>4</v>
      </c>
      <c r="C93" s="101" t="str">
        <f>_xlfn.CONCAT(C92," Roof")</f>
        <v>New Reactor Fuel and Testing Facility Admin Building Roof</v>
      </c>
      <c r="D93" s="96" t="str">
        <f t="shared" si="3"/>
        <v xml:space="preserve">                        New Reactor Fuel and Testing Facility Admin Building Roof</v>
      </c>
      <c r="E93" s="96" t="s">
        <v>35</v>
      </c>
      <c r="F93" s="96" t="s">
        <v>565</v>
      </c>
      <c r="G93" s="97">
        <v>1</v>
      </c>
      <c r="H93" s="96"/>
      <c r="I93" s="96"/>
      <c r="J93" s="102"/>
      <c r="K93" s="102">
        <f>1200</f>
        <v>1200</v>
      </c>
      <c r="L93" s="103" t="s">
        <v>80</v>
      </c>
      <c r="M93" s="101" t="str">
        <f>_xlfn.CONCAT(C93, " Volume")</f>
        <v>New Reactor Fuel and Testing Facility Admin Building Roof Volume</v>
      </c>
      <c r="N93" s="104"/>
      <c r="O93" s="103" t="s">
        <v>82</v>
      </c>
      <c r="P93" s="112"/>
      <c r="Q93" s="105">
        <v>2024</v>
      </c>
      <c r="R93" s="103" t="s">
        <v>86</v>
      </c>
      <c r="S93" s="160" t="s">
        <v>575</v>
      </c>
      <c r="T93" s="160" t="s">
        <v>75</v>
      </c>
      <c r="U93" s="162" t="s">
        <v>76</v>
      </c>
      <c r="V93" s="108"/>
      <c r="W93" s="99" t="s">
        <v>43</v>
      </c>
      <c r="X93" s="109">
        <f>0.9*$I93</f>
        <v>0</v>
      </c>
      <c r="Y93" s="109">
        <f>1.5*J93</f>
        <v>0</v>
      </c>
      <c r="Z93" s="99" t="s">
        <v>44</v>
      </c>
      <c r="AA93" s="100">
        <f>0.9*K93</f>
        <v>1080</v>
      </c>
      <c r="AB93" s="100">
        <f>1.3*K93</f>
        <v>1560</v>
      </c>
      <c r="AC93" s="99" t="s">
        <v>44</v>
      </c>
      <c r="AD93" s="100" t="s">
        <v>45</v>
      </c>
      <c r="AE93" s="100" t="s">
        <v>46</v>
      </c>
      <c r="AF93" s="100" t="s">
        <v>47</v>
      </c>
      <c r="AG93" s="99" t="s">
        <v>48</v>
      </c>
    </row>
    <row r="94" spans="1:33" ht="67.5" customHeight="1" x14ac:dyDescent="0.2">
      <c r="A94" s="114">
        <v>215.72</v>
      </c>
      <c r="B94" s="95">
        <f t="shared" si="5"/>
        <v>4</v>
      </c>
      <c r="C94" s="101" t="str">
        <f>_xlfn.CONCAT(C92," Basement")</f>
        <v>New Reactor Fuel and Testing Facility Admin Building Basement</v>
      </c>
      <c r="D94" s="96" t="str">
        <f t="shared" si="3"/>
        <v xml:space="preserve">                        New Reactor Fuel and Testing Facility Admin Building Basement</v>
      </c>
      <c r="E94" s="96" t="s">
        <v>35</v>
      </c>
      <c r="F94" s="96" t="s">
        <v>565</v>
      </c>
      <c r="G94" s="97">
        <v>1</v>
      </c>
      <c r="H94" s="96"/>
      <c r="I94" s="96"/>
      <c r="J94" s="102"/>
      <c r="K94" s="102">
        <f>943.9</f>
        <v>943.9</v>
      </c>
      <c r="L94" s="103" t="s">
        <v>80</v>
      </c>
      <c r="M94" s="101" t="str">
        <f>_xlfn.CONCAT(C94, " Volume")</f>
        <v>New Reactor Fuel and Testing Facility Admin Building Basement Volume</v>
      </c>
      <c r="N94" s="104"/>
      <c r="O94" s="103" t="s">
        <v>82</v>
      </c>
      <c r="P94" s="112"/>
      <c r="Q94" s="105">
        <v>2024</v>
      </c>
      <c r="R94" s="103" t="s">
        <v>86</v>
      </c>
      <c r="S94" s="161"/>
      <c r="T94" s="161"/>
      <c r="U94" s="161"/>
      <c r="V94" s="108"/>
      <c r="W94" s="99" t="s">
        <v>43</v>
      </c>
      <c r="X94" s="109">
        <f>0.9*$I94</f>
        <v>0</v>
      </c>
      <c r="Y94" s="109">
        <f>1.5*J94</f>
        <v>0</v>
      </c>
      <c r="Z94" s="99" t="s">
        <v>44</v>
      </c>
      <c r="AA94" s="100">
        <f>0.9*K94</f>
        <v>849.51</v>
      </c>
      <c r="AB94" s="100">
        <f>1.3*K94</f>
        <v>1227.07</v>
      </c>
      <c r="AC94" s="99" t="s">
        <v>44</v>
      </c>
      <c r="AD94" s="100" t="s">
        <v>45</v>
      </c>
      <c r="AE94" s="100" t="s">
        <v>46</v>
      </c>
      <c r="AF94" s="100" t="s">
        <v>47</v>
      </c>
      <c r="AG94" s="99" t="s">
        <v>48</v>
      </c>
    </row>
    <row r="95" spans="1:33" ht="67.5" customHeight="1" x14ac:dyDescent="0.2">
      <c r="A95" s="114">
        <v>215.73</v>
      </c>
      <c r="B95" s="95">
        <f t="shared" si="5"/>
        <v>4</v>
      </c>
      <c r="C95" s="101" t="str">
        <f>_xlfn.CONCAT(C92," Walls")</f>
        <v>New Reactor Fuel and Testing Facility Admin Building Walls</v>
      </c>
      <c r="D95" s="96" t="str">
        <f t="shared" si="3"/>
        <v xml:space="preserve">                        New Reactor Fuel and Testing Facility Admin Building Walls</v>
      </c>
      <c r="E95" s="96" t="s">
        <v>35</v>
      </c>
      <c r="F95" s="96" t="s">
        <v>565</v>
      </c>
      <c r="G95" s="97">
        <v>1</v>
      </c>
      <c r="H95" s="96"/>
      <c r="I95" s="96"/>
      <c r="J95" s="102"/>
      <c r="K95" s="102">
        <f>721.21</f>
        <v>721.21</v>
      </c>
      <c r="L95" s="103" t="s">
        <v>80</v>
      </c>
      <c r="M95" s="101" t="str">
        <f>_xlfn.CONCAT(C95, " Volume")</f>
        <v>New Reactor Fuel and Testing Facility Admin Building Walls Volume</v>
      </c>
      <c r="N95" s="104"/>
      <c r="O95" s="103" t="s">
        <v>82</v>
      </c>
      <c r="P95" s="112"/>
      <c r="Q95" s="105">
        <v>2024</v>
      </c>
      <c r="R95" s="103" t="s">
        <v>86</v>
      </c>
      <c r="S95" s="152"/>
      <c r="T95" s="152"/>
      <c r="U95" s="152"/>
      <c r="V95" s="108"/>
      <c r="W95" s="99" t="s">
        <v>43</v>
      </c>
      <c r="X95" s="109">
        <f>0.9*$I95</f>
        <v>0</v>
      </c>
      <c r="Y95" s="109">
        <f>1.5*J95</f>
        <v>0</v>
      </c>
      <c r="Z95" s="99" t="s">
        <v>44</v>
      </c>
      <c r="AA95" s="100">
        <f>0.9*K95</f>
        <v>649.08900000000006</v>
      </c>
      <c r="AB95" s="100">
        <f>1.3*K95</f>
        <v>937.57300000000009</v>
      </c>
      <c r="AC95" s="99" t="s">
        <v>44</v>
      </c>
      <c r="AD95" s="100" t="s">
        <v>45</v>
      </c>
      <c r="AE95" s="100" t="s">
        <v>46</v>
      </c>
      <c r="AF95" s="100" t="s">
        <v>47</v>
      </c>
      <c r="AG95" s="99" t="s">
        <v>48</v>
      </c>
    </row>
    <row r="96" spans="1:33" ht="54" customHeight="1" x14ac:dyDescent="0.2">
      <c r="A96" s="114">
        <v>215.79</v>
      </c>
      <c r="B96" s="95">
        <f t="shared" si="5"/>
        <v>4</v>
      </c>
      <c r="C96" s="101" t="s">
        <v>576</v>
      </c>
      <c r="D96" s="96" t="str">
        <f t="shared" si="3"/>
        <v xml:space="preserve">                        HVAC</v>
      </c>
      <c r="E96" s="96" t="s">
        <v>35</v>
      </c>
      <c r="F96" s="96" t="s">
        <v>565</v>
      </c>
      <c r="G96" s="97">
        <v>1</v>
      </c>
      <c r="H96" s="96"/>
      <c r="I96" s="96"/>
      <c r="J96" s="102"/>
      <c r="K96" s="102"/>
      <c r="L96" s="103" t="s">
        <v>80</v>
      </c>
      <c r="M96" s="101" t="str">
        <f>_xlfn.CONCAT(C92, " Volume")</f>
        <v>New Reactor Fuel and Testing Facility Admin Building Volume</v>
      </c>
      <c r="N96" s="104"/>
      <c r="O96" s="103" t="s">
        <v>82</v>
      </c>
      <c r="P96" s="112"/>
      <c r="Q96" s="105"/>
      <c r="R96" s="103"/>
      <c r="S96" s="106"/>
      <c r="T96" s="106"/>
      <c r="U96" s="107"/>
      <c r="V96" s="108"/>
      <c r="W96" s="99" t="s">
        <v>43</v>
      </c>
      <c r="X96" s="109">
        <f>0.9*$I96</f>
        <v>0</v>
      </c>
      <c r="Y96" s="109">
        <f>1.5*J96</f>
        <v>0</v>
      </c>
      <c r="Z96" s="99" t="s">
        <v>44</v>
      </c>
      <c r="AA96" s="100">
        <f>0.9*K96</f>
        <v>0</v>
      </c>
      <c r="AB96" s="100">
        <f>1.3*K96</f>
        <v>0</v>
      </c>
      <c r="AC96" s="99" t="s">
        <v>44</v>
      </c>
      <c r="AD96" s="100" t="s">
        <v>45</v>
      </c>
      <c r="AE96" s="100" t="s">
        <v>46</v>
      </c>
      <c r="AF96" s="100" t="s">
        <v>47</v>
      </c>
      <c r="AG96" s="99" t="s">
        <v>48</v>
      </c>
    </row>
    <row r="97" spans="1:33" ht="25.5" customHeight="1" x14ac:dyDescent="0.2">
      <c r="A97" s="114">
        <v>215.8</v>
      </c>
      <c r="B97" s="95">
        <f t="shared" si="5"/>
        <v>3</v>
      </c>
      <c r="C97" s="101" t="s">
        <v>600</v>
      </c>
      <c r="D97" s="96" t="str">
        <f t="shared" si="3"/>
        <v xml:space="preserve">                  New Reactor Fuel and Testing Facility Security Building</v>
      </c>
      <c r="E97" s="96"/>
      <c r="F97" s="96"/>
      <c r="G97" s="97"/>
      <c r="H97" s="96"/>
      <c r="I97" s="96"/>
      <c r="J97" s="102"/>
      <c r="K97" s="102"/>
      <c r="L97" s="103"/>
      <c r="M97" s="106"/>
      <c r="N97" s="104"/>
      <c r="O97" s="103"/>
      <c r="P97" s="112"/>
      <c r="Q97" s="105"/>
      <c r="R97" s="103"/>
      <c r="S97" s="106"/>
      <c r="T97" s="106"/>
      <c r="U97" s="107"/>
      <c r="V97" s="108"/>
      <c r="W97" s="99"/>
      <c r="X97" s="109"/>
      <c r="Y97" s="109"/>
      <c r="Z97" s="99"/>
      <c r="AA97" s="100"/>
      <c r="AB97" s="100"/>
      <c r="AC97" s="99"/>
      <c r="AD97" s="100"/>
      <c r="AE97" s="100"/>
      <c r="AF97" s="100"/>
      <c r="AG97" s="99"/>
    </row>
    <row r="98" spans="1:33" ht="67.5" customHeight="1" x14ac:dyDescent="0.2">
      <c r="A98" s="114">
        <v>215.81</v>
      </c>
      <c r="B98" s="95">
        <f t="shared" si="5"/>
        <v>4</v>
      </c>
      <c r="C98" s="101" t="str">
        <f>_xlfn.CONCAT(C97," Roof")</f>
        <v>New Reactor Fuel and Testing Facility Security Building Roof</v>
      </c>
      <c r="D98" s="96" t="str">
        <f t="shared" si="3"/>
        <v xml:space="preserve">                        New Reactor Fuel and Testing Facility Security Building Roof</v>
      </c>
      <c r="E98" s="96" t="s">
        <v>35</v>
      </c>
      <c r="F98" s="96" t="s">
        <v>565</v>
      </c>
      <c r="G98" s="97">
        <v>1</v>
      </c>
      <c r="H98" s="96"/>
      <c r="I98" s="96"/>
      <c r="J98" s="102"/>
      <c r="K98" s="102">
        <f>1200</f>
        <v>1200</v>
      </c>
      <c r="L98" s="103" t="s">
        <v>80</v>
      </c>
      <c r="M98" s="101" t="str">
        <f>_xlfn.CONCAT(C98, " Volume")</f>
        <v>New Reactor Fuel and Testing Facility Security Building Roof Volume</v>
      </c>
      <c r="N98" s="104"/>
      <c r="O98" s="103" t="s">
        <v>82</v>
      </c>
      <c r="P98" s="112"/>
      <c r="Q98" s="105">
        <v>2024</v>
      </c>
      <c r="R98" s="103" t="s">
        <v>86</v>
      </c>
      <c r="S98" s="160" t="s">
        <v>575</v>
      </c>
      <c r="T98" s="160" t="s">
        <v>75</v>
      </c>
      <c r="U98" s="162" t="s">
        <v>76</v>
      </c>
      <c r="V98" s="108"/>
      <c r="W98" s="99" t="s">
        <v>43</v>
      </c>
      <c r="X98" s="109">
        <f>0.9*$I98</f>
        <v>0</v>
      </c>
      <c r="Y98" s="109">
        <f>1.5*J98</f>
        <v>0</v>
      </c>
      <c r="Z98" s="99" t="s">
        <v>44</v>
      </c>
      <c r="AA98" s="100">
        <f>0.9*K98</f>
        <v>1080</v>
      </c>
      <c r="AB98" s="100">
        <f>1.3*K98</f>
        <v>1560</v>
      </c>
      <c r="AC98" s="99" t="s">
        <v>44</v>
      </c>
      <c r="AD98" s="100" t="s">
        <v>45</v>
      </c>
      <c r="AE98" s="100" t="s">
        <v>46</v>
      </c>
      <c r="AF98" s="100" t="s">
        <v>47</v>
      </c>
      <c r="AG98" s="99" t="s">
        <v>48</v>
      </c>
    </row>
    <row r="99" spans="1:33" ht="67.5" customHeight="1" x14ac:dyDescent="0.2">
      <c r="A99" s="114">
        <v>215.82</v>
      </c>
      <c r="B99" s="95">
        <f t="shared" si="5"/>
        <v>4</v>
      </c>
      <c r="C99" s="101" t="str">
        <f>_xlfn.CONCAT(C97," Basement")</f>
        <v>New Reactor Fuel and Testing Facility Security Building Basement</v>
      </c>
      <c r="D99" s="96" t="str">
        <f t="shared" si="3"/>
        <v xml:space="preserve">                        New Reactor Fuel and Testing Facility Security Building Basement</v>
      </c>
      <c r="E99" s="96" t="s">
        <v>35</v>
      </c>
      <c r="F99" s="96" t="s">
        <v>565</v>
      </c>
      <c r="G99" s="97">
        <v>1</v>
      </c>
      <c r="H99" s="96"/>
      <c r="I99" s="96"/>
      <c r="J99" s="102"/>
      <c r="K99" s="102">
        <f>943.9</f>
        <v>943.9</v>
      </c>
      <c r="L99" s="103" t="s">
        <v>80</v>
      </c>
      <c r="M99" s="101" t="str">
        <f>_xlfn.CONCAT(C99, " Volume")</f>
        <v>New Reactor Fuel and Testing Facility Security Building Basement Volume</v>
      </c>
      <c r="N99" s="104"/>
      <c r="O99" s="103" t="s">
        <v>82</v>
      </c>
      <c r="P99" s="112"/>
      <c r="Q99" s="105">
        <v>2024</v>
      </c>
      <c r="R99" s="103" t="s">
        <v>86</v>
      </c>
      <c r="S99" s="161"/>
      <c r="T99" s="161"/>
      <c r="U99" s="161"/>
      <c r="V99" s="108"/>
      <c r="W99" s="99" t="s">
        <v>43</v>
      </c>
      <c r="X99" s="109">
        <f>0.9*$I99</f>
        <v>0</v>
      </c>
      <c r="Y99" s="109">
        <f>1.5*J99</f>
        <v>0</v>
      </c>
      <c r="Z99" s="99" t="s">
        <v>44</v>
      </c>
      <c r="AA99" s="100">
        <f>0.9*K99</f>
        <v>849.51</v>
      </c>
      <c r="AB99" s="100">
        <f>1.3*K99</f>
        <v>1227.07</v>
      </c>
      <c r="AC99" s="99" t="s">
        <v>44</v>
      </c>
      <c r="AD99" s="100" t="s">
        <v>45</v>
      </c>
      <c r="AE99" s="100" t="s">
        <v>46</v>
      </c>
      <c r="AF99" s="100" t="s">
        <v>47</v>
      </c>
      <c r="AG99" s="99" t="s">
        <v>48</v>
      </c>
    </row>
    <row r="100" spans="1:33" ht="67.5" customHeight="1" x14ac:dyDescent="0.2">
      <c r="A100" s="114">
        <v>215.83</v>
      </c>
      <c r="B100" s="95">
        <f t="shared" si="5"/>
        <v>4</v>
      </c>
      <c r="C100" s="101" t="str">
        <f>_xlfn.CONCAT(C97," Walls")</f>
        <v>New Reactor Fuel and Testing Facility Security Building Walls</v>
      </c>
      <c r="D100" s="96" t="str">
        <f t="shared" si="3"/>
        <v xml:space="preserve">                        New Reactor Fuel and Testing Facility Security Building Walls</v>
      </c>
      <c r="E100" s="96" t="s">
        <v>35</v>
      </c>
      <c r="F100" s="96" t="s">
        <v>565</v>
      </c>
      <c r="G100" s="97">
        <v>1</v>
      </c>
      <c r="H100" s="96"/>
      <c r="I100" s="96"/>
      <c r="J100" s="102"/>
      <c r="K100" s="102">
        <f>721.21</f>
        <v>721.21</v>
      </c>
      <c r="L100" s="103" t="s">
        <v>80</v>
      </c>
      <c r="M100" s="101" t="str">
        <f>_xlfn.CONCAT(C100, " Volume")</f>
        <v>New Reactor Fuel and Testing Facility Security Building Walls Volume</v>
      </c>
      <c r="N100" s="104"/>
      <c r="O100" s="103" t="s">
        <v>82</v>
      </c>
      <c r="P100" s="112"/>
      <c r="Q100" s="105">
        <v>2024</v>
      </c>
      <c r="R100" s="103" t="s">
        <v>86</v>
      </c>
      <c r="S100" s="152"/>
      <c r="T100" s="152"/>
      <c r="U100" s="152"/>
      <c r="V100" s="108"/>
      <c r="W100" s="99" t="s">
        <v>43</v>
      </c>
      <c r="X100" s="109">
        <f>0.9*$I100</f>
        <v>0</v>
      </c>
      <c r="Y100" s="109">
        <f>1.5*J100</f>
        <v>0</v>
      </c>
      <c r="Z100" s="99" t="s">
        <v>44</v>
      </c>
      <c r="AA100" s="100">
        <f>0.9*K100</f>
        <v>649.08900000000006</v>
      </c>
      <c r="AB100" s="100">
        <f>1.3*K100</f>
        <v>937.57300000000009</v>
      </c>
      <c r="AC100" s="99" t="s">
        <v>44</v>
      </c>
      <c r="AD100" s="100" t="s">
        <v>45</v>
      </c>
      <c r="AE100" s="100" t="s">
        <v>46</v>
      </c>
      <c r="AF100" s="100" t="s">
        <v>47</v>
      </c>
      <c r="AG100" s="99" t="s">
        <v>48</v>
      </c>
    </row>
    <row r="101" spans="1:33" ht="54" customHeight="1" x14ac:dyDescent="0.2">
      <c r="A101" s="114">
        <v>215.89</v>
      </c>
      <c r="B101" s="95">
        <f t="shared" si="5"/>
        <v>4</v>
      </c>
      <c r="C101" s="101" t="s">
        <v>576</v>
      </c>
      <c r="D101" s="96" t="str">
        <f t="shared" si="3"/>
        <v xml:space="preserve">                        HVAC</v>
      </c>
      <c r="E101" s="96" t="s">
        <v>35</v>
      </c>
      <c r="F101" s="96" t="s">
        <v>565</v>
      </c>
      <c r="G101" s="97">
        <v>1</v>
      </c>
      <c r="H101" s="96"/>
      <c r="I101" s="96"/>
      <c r="J101" s="102"/>
      <c r="K101" s="102"/>
      <c r="L101" s="103" t="s">
        <v>80</v>
      </c>
      <c r="M101" s="101" t="str">
        <f>_xlfn.CONCAT(C97, " Volume")</f>
        <v>New Reactor Fuel and Testing Facility Security Building Volume</v>
      </c>
      <c r="N101" s="104"/>
      <c r="O101" s="103" t="s">
        <v>82</v>
      </c>
      <c r="P101" s="112"/>
      <c r="Q101" s="105"/>
      <c r="R101" s="103"/>
      <c r="S101" s="106"/>
      <c r="T101" s="106"/>
      <c r="U101" s="107"/>
      <c r="V101" s="108"/>
      <c r="W101" s="99" t="s">
        <v>43</v>
      </c>
      <c r="X101" s="109">
        <f>0.9*$I101</f>
        <v>0</v>
      </c>
      <c r="Y101" s="109">
        <f>1.5*J101</f>
        <v>0</v>
      </c>
      <c r="Z101" s="99" t="s">
        <v>44</v>
      </c>
      <c r="AA101" s="100">
        <f>0.9*K101</f>
        <v>0</v>
      </c>
      <c r="AB101" s="100">
        <f>1.3*K101</f>
        <v>0</v>
      </c>
      <c r="AC101" s="99" t="s">
        <v>44</v>
      </c>
      <c r="AD101" s="100" t="s">
        <v>45</v>
      </c>
      <c r="AE101" s="100" t="s">
        <v>46</v>
      </c>
      <c r="AF101" s="100" t="s">
        <v>47</v>
      </c>
      <c r="AG101" s="99" t="s">
        <v>48</v>
      </c>
    </row>
    <row r="102" spans="1:33" ht="39" customHeight="1" x14ac:dyDescent="0.2">
      <c r="A102" s="114">
        <v>215.9</v>
      </c>
      <c r="B102" s="95">
        <f t="shared" si="5"/>
        <v>3</v>
      </c>
      <c r="C102" s="101" t="s">
        <v>567</v>
      </c>
      <c r="D102" s="96" t="str">
        <f t="shared" si="3"/>
        <v xml:space="preserve">                  Security Fencing</v>
      </c>
      <c r="E102" s="96" t="s">
        <v>35</v>
      </c>
      <c r="F102" s="96" t="s">
        <v>565</v>
      </c>
      <c r="G102" s="97">
        <v>1</v>
      </c>
      <c r="H102" s="96"/>
      <c r="I102" s="96"/>
      <c r="J102" s="102"/>
      <c r="K102" s="102">
        <f>75/0.3048</f>
        <v>246.06299212598424</v>
      </c>
      <c r="L102" s="103" t="s">
        <v>568</v>
      </c>
      <c r="M102" s="103" t="s">
        <v>601</v>
      </c>
      <c r="N102" s="104"/>
      <c r="O102" s="103"/>
      <c r="P102" s="112"/>
      <c r="Q102" s="105">
        <v>2009</v>
      </c>
      <c r="R102" s="103" t="s">
        <v>73</v>
      </c>
      <c r="S102" s="106" t="s">
        <v>570</v>
      </c>
      <c r="T102" s="106" t="s">
        <v>571</v>
      </c>
      <c r="U102" s="116" t="s">
        <v>572</v>
      </c>
      <c r="V102" s="108"/>
      <c r="W102" s="99" t="s">
        <v>43</v>
      </c>
      <c r="X102" s="109">
        <f>0.9*$J102</f>
        <v>0</v>
      </c>
      <c r="Y102" s="109">
        <f>1.5*J102</f>
        <v>0</v>
      </c>
      <c r="Z102" s="99" t="s">
        <v>44</v>
      </c>
      <c r="AA102" s="100">
        <f>0.9*K102</f>
        <v>221.45669291338581</v>
      </c>
      <c r="AB102" s="100">
        <f>1.3*K102</f>
        <v>319.8818897637795</v>
      </c>
      <c r="AC102" s="99" t="s">
        <v>44</v>
      </c>
      <c r="AD102" s="100" t="s">
        <v>45</v>
      </c>
      <c r="AE102" s="100" t="s">
        <v>46</v>
      </c>
      <c r="AF102" s="100" t="s">
        <v>47</v>
      </c>
      <c r="AG102" s="99" t="s">
        <v>48</v>
      </c>
    </row>
    <row r="103" spans="1:33" x14ac:dyDescent="0.2">
      <c r="A103" s="114">
        <v>216</v>
      </c>
      <c r="B103" s="95">
        <f>IF(ISNUMBER(A103),
    IF(AND(A103=INT(A103), MOD(A103, 10) = 0), 0,
        IF(AND(A103=INT(A103), LEN(A103)=2), 1,
            IF(AND(A103=INT(A103), LEN(A103)=3), 2,
                LEN(A103) - FIND(".", A103) + 2)
        )
    ),
"")</f>
        <v>2</v>
      </c>
      <c r="C103" s="101" t="s">
        <v>602</v>
      </c>
      <c r="D103" s="96" t="str">
        <f t="shared" si="3"/>
        <v xml:space="preserve">            Radioactive Waste Management Facility</v>
      </c>
      <c r="E103" s="96"/>
      <c r="F103" s="96"/>
      <c r="G103" s="97"/>
      <c r="H103" s="96"/>
      <c r="I103" s="96"/>
      <c r="J103" s="102"/>
      <c r="K103" s="102"/>
      <c r="L103" s="104"/>
      <c r="M103" s="113"/>
      <c r="N103" s="104"/>
      <c r="O103" s="104"/>
      <c r="P103" s="112"/>
      <c r="Q103" s="112"/>
      <c r="R103" s="104"/>
      <c r="S103" s="113"/>
      <c r="T103" s="106"/>
      <c r="U103" s="107"/>
      <c r="V103" s="108"/>
      <c r="W103" s="99"/>
      <c r="X103" s="109"/>
      <c r="Y103" s="109"/>
      <c r="Z103" s="99"/>
      <c r="AA103" s="100"/>
      <c r="AB103" s="100"/>
      <c r="AC103" s="99"/>
      <c r="AD103" s="100"/>
      <c r="AE103" s="100"/>
      <c r="AF103" s="100"/>
      <c r="AG103" s="99"/>
    </row>
    <row r="104" spans="1:33" x14ac:dyDescent="0.2">
      <c r="A104" s="114">
        <v>216.1</v>
      </c>
      <c r="B104" s="95">
        <f>IF(ISNUMBER(A104),
    IF(AND(A104=INT(A104), MOD(A104, 10) = 0), 0,
        IF(AND(A104=INT(A104), LEN(A104)=2), 1,
            IF(AND(A104=INT(A104), LEN(A104)=3), 2,
                LEN(A104) - FIND(".", A104) + 2)
        )
    ),
"")</f>
        <v>3</v>
      </c>
      <c r="C104" s="101" t="s">
        <v>603</v>
      </c>
      <c r="D104" s="96" t="str">
        <f t="shared" si="3"/>
        <v xml:space="preserve">                  Radioactive Waste Processing Building</v>
      </c>
      <c r="E104" s="96"/>
      <c r="F104" s="96"/>
      <c r="G104" s="97"/>
      <c r="H104" s="96"/>
      <c r="I104" s="96"/>
      <c r="J104" s="102"/>
      <c r="K104" s="102"/>
      <c r="L104" s="104"/>
      <c r="M104" s="113"/>
      <c r="N104" s="104"/>
      <c r="O104" s="104"/>
      <c r="P104" s="112"/>
      <c r="Q104" s="112"/>
      <c r="R104" s="104"/>
      <c r="S104" s="113"/>
      <c r="T104" s="106"/>
      <c r="U104" s="107"/>
      <c r="V104" s="108"/>
      <c r="W104" s="99"/>
      <c r="X104" s="109"/>
      <c r="Y104" s="109"/>
      <c r="Z104" s="99"/>
      <c r="AA104" s="100"/>
      <c r="AB104" s="100"/>
      <c r="AC104" s="99"/>
      <c r="AD104" s="100"/>
      <c r="AE104" s="100"/>
      <c r="AF104" s="100"/>
      <c r="AG104" s="99"/>
    </row>
    <row r="105" spans="1:33" ht="54" customHeight="1" x14ac:dyDescent="0.2">
      <c r="A105" s="114">
        <v>216.11</v>
      </c>
      <c r="B105" s="95">
        <f>IF(ISNUMBER(A105),
    IF(AND(A105=INT(A105), MOD(A105, 10) = 0), 0,
        IF(AND(A105=INT(A105), LEN(A105)=2), 1,
            IF(AND(A105=INT(A105), LEN(A105)=3), 2,
                LEN(A105) - FIND(".", A105) + 2)
        )
    ),
"")</f>
        <v>4</v>
      </c>
      <c r="C105" s="101" t="str">
        <f>_xlfn.CONCAT(C104," Roof")</f>
        <v>Radioactive Waste Processing Building Roof</v>
      </c>
      <c r="D105" s="96" t="str">
        <f t="shared" si="3"/>
        <v xml:space="preserve">                        Radioactive Waste Processing Building Roof</v>
      </c>
      <c r="E105" s="96" t="s">
        <v>35</v>
      </c>
      <c r="F105" s="96" t="s">
        <v>565</v>
      </c>
      <c r="G105" s="97">
        <v>1</v>
      </c>
      <c r="H105" s="96"/>
      <c r="I105" s="96"/>
      <c r="J105" s="102"/>
      <c r="K105" s="102">
        <f>1200 *1.53</f>
        <v>1836</v>
      </c>
      <c r="L105" s="103" t="s">
        <v>80</v>
      </c>
      <c r="M105" s="101" t="str">
        <f>_xlfn.CONCAT(C105, " Volume")</f>
        <v>Radioactive Waste Processing Building Roof Volume</v>
      </c>
      <c r="N105" s="104"/>
      <c r="O105" s="103" t="s">
        <v>82</v>
      </c>
      <c r="P105" s="112"/>
      <c r="Q105" s="105">
        <v>2024</v>
      </c>
      <c r="R105" s="103" t="s">
        <v>86</v>
      </c>
      <c r="S105" s="160" t="s">
        <v>575</v>
      </c>
      <c r="T105" s="160" t="s">
        <v>75</v>
      </c>
      <c r="U105" s="162" t="s">
        <v>76</v>
      </c>
      <c r="V105" s="108"/>
      <c r="W105" s="99" t="s">
        <v>43</v>
      </c>
      <c r="X105" s="109">
        <f>0.9*$I105</f>
        <v>0</v>
      </c>
      <c r="Y105" s="109">
        <f>1.5*J105</f>
        <v>0</v>
      </c>
      <c r="Z105" s="99" t="s">
        <v>44</v>
      </c>
      <c r="AA105" s="100">
        <f>0.9*K105</f>
        <v>1652.4</v>
      </c>
      <c r="AB105" s="100">
        <f>1.3*K105</f>
        <v>2386.8000000000002</v>
      </c>
      <c r="AC105" s="99" t="s">
        <v>44</v>
      </c>
      <c r="AD105" s="100" t="s">
        <v>45</v>
      </c>
      <c r="AE105" s="100" t="s">
        <v>46</v>
      </c>
      <c r="AF105" s="100" t="s">
        <v>47</v>
      </c>
      <c r="AG105" s="99" t="s">
        <v>48</v>
      </c>
    </row>
    <row r="106" spans="1:33" ht="54" customHeight="1" x14ac:dyDescent="0.2">
      <c r="A106" s="114">
        <v>216.12</v>
      </c>
      <c r="B106" s="95">
        <f t="shared" ref="B106:B115" si="6">IF(ISNUMBER(A106),
IF(AND(A106=INT(A106), MOD(A106, 10) = 0), 0,
IF(AND(A106=INT(A106), LEN(A106)=2), 1,
IF(AND(A106=INT(A106), LEN(A106)=3), 2,
LEN(A106) - FIND(".", A106) + 2)
)
),
"")</f>
        <v>4</v>
      </c>
      <c r="C106" s="101" t="str">
        <f>_xlfn.CONCAT(C104," Basement")</f>
        <v>Radioactive Waste Processing Building Basement</v>
      </c>
      <c r="D106" s="96" t="str">
        <f t="shared" si="3"/>
        <v xml:space="preserve">                        Radioactive Waste Processing Building Basement</v>
      </c>
      <c r="E106" s="96" t="s">
        <v>35</v>
      </c>
      <c r="F106" s="96" t="s">
        <v>565</v>
      </c>
      <c r="G106" s="97">
        <v>1</v>
      </c>
      <c r="H106" s="96"/>
      <c r="I106" s="96"/>
      <c r="J106" s="102"/>
      <c r="K106" s="102">
        <f>943.9*1.53</f>
        <v>1444.1669999999999</v>
      </c>
      <c r="L106" s="103" t="s">
        <v>80</v>
      </c>
      <c r="M106" s="101" t="str">
        <f>_xlfn.CONCAT(C106, " Volume")</f>
        <v>Radioactive Waste Processing Building Basement Volume</v>
      </c>
      <c r="N106" s="104"/>
      <c r="O106" s="103" t="s">
        <v>82</v>
      </c>
      <c r="P106" s="112"/>
      <c r="Q106" s="105">
        <v>2024</v>
      </c>
      <c r="R106" s="103" t="s">
        <v>86</v>
      </c>
      <c r="S106" s="161"/>
      <c r="T106" s="161"/>
      <c r="U106" s="161"/>
      <c r="V106" s="108"/>
      <c r="W106" s="99" t="s">
        <v>43</v>
      </c>
      <c r="X106" s="109">
        <f>0.9*$I106</f>
        <v>0</v>
      </c>
      <c r="Y106" s="109">
        <f>1.5*J106</f>
        <v>0</v>
      </c>
      <c r="Z106" s="99" t="s">
        <v>44</v>
      </c>
      <c r="AA106" s="100">
        <f>0.9*K106</f>
        <v>1299.7502999999999</v>
      </c>
      <c r="AB106" s="100">
        <f>1.3*K106</f>
        <v>1877.4170999999999</v>
      </c>
      <c r="AC106" s="99" t="s">
        <v>44</v>
      </c>
      <c r="AD106" s="100" t="s">
        <v>45</v>
      </c>
      <c r="AE106" s="100" t="s">
        <v>46</v>
      </c>
      <c r="AF106" s="100" t="s">
        <v>47</v>
      </c>
      <c r="AG106" s="99" t="s">
        <v>48</v>
      </c>
    </row>
    <row r="107" spans="1:33" ht="54" customHeight="1" x14ac:dyDescent="0.2">
      <c r="A107" s="114">
        <v>216.13</v>
      </c>
      <c r="B107" s="95">
        <f t="shared" si="6"/>
        <v>4</v>
      </c>
      <c r="C107" s="101" t="str">
        <f>_xlfn.CONCAT(C104," Walls")</f>
        <v>Radioactive Waste Processing Building Walls</v>
      </c>
      <c r="D107" s="96" t="str">
        <f t="shared" si="3"/>
        <v xml:space="preserve">                        Radioactive Waste Processing Building Walls</v>
      </c>
      <c r="E107" s="96" t="s">
        <v>35</v>
      </c>
      <c r="F107" s="96" t="s">
        <v>565</v>
      </c>
      <c r="G107" s="97">
        <v>1</v>
      </c>
      <c r="H107" s="96"/>
      <c r="I107" s="96"/>
      <c r="J107" s="102"/>
      <c r="K107" s="102">
        <f>721.21*1.53</f>
        <v>1103.4513000000002</v>
      </c>
      <c r="L107" s="103" t="s">
        <v>80</v>
      </c>
      <c r="M107" s="101" t="str">
        <f>_xlfn.CONCAT(C107, " Volume")</f>
        <v>Radioactive Waste Processing Building Walls Volume</v>
      </c>
      <c r="N107" s="104"/>
      <c r="O107" s="103" t="s">
        <v>82</v>
      </c>
      <c r="P107" s="112"/>
      <c r="Q107" s="105">
        <v>2024</v>
      </c>
      <c r="R107" s="103" t="s">
        <v>86</v>
      </c>
      <c r="S107" s="152"/>
      <c r="T107" s="152"/>
      <c r="U107" s="152"/>
      <c r="V107" s="108"/>
      <c r="W107" s="99" t="s">
        <v>43</v>
      </c>
      <c r="X107" s="109">
        <f>0.9*$I107</f>
        <v>0</v>
      </c>
      <c r="Y107" s="109">
        <f>1.5*J107</f>
        <v>0</v>
      </c>
      <c r="Z107" s="99" t="s">
        <v>44</v>
      </c>
      <c r="AA107" s="100">
        <f>0.9*K107</f>
        <v>993.10617000000013</v>
      </c>
      <c r="AB107" s="100">
        <f>1.3*K107</f>
        <v>1434.4866900000002</v>
      </c>
      <c r="AC107" s="99" t="s">
        <v>44</v>
      </c>
      <c r="AD107" s="100" t="s">
        <v>45</v>
      </c>
      <c r="AE107" s="100" t="s">
        <v>46</v>
      </c>
      <c r="AF107" s="100" t="s">
        <v>47</v>
      </c>
      <c r="AG107" s="99" t="s">
        <v>48</v>
      </c>
    </row>
    <row r="108" spans="1:33" x14ac:dyDescent="0.2">
      <c r="A108" s="114">
        <v>216.14</v>
      </c>
      <c r="B108" s="95">
        <f t="shared" si="6"/>
        <v>4</v>
      </c>
      <c r="C108" s="101" t="s">
        <v>604</v>
      </c>
      <c r="D108" s="96" t="str">
        <f t="shared" si="3"/>
        <v xml:space="preserve">                        Radioactive Waste Processing Hot Cell</v>
      </c>
      <c r="E108" s="96" t="s">
        <v>35</v>
      </c>
      <c r="F108" s="96" t="s">
        <v>565</v>
      </c>
      <c r="G108" s="97">
        <v>1</v>
      </c>
      <c r="H108" s="96"/>
      <c r="I108" s="96"/>
      <c r="J108" s="102"/>
      <c r="K108" s="102"/>
      <c r="L108" s="103"/>
      <c r="M108" s="101"/>
      <c r="N108" s="104"/>
      <c r="O108" s="103"/>
      <c r="P108" s="112"/>
      <c r="Q108" s="105"/>
      <c r="R108" s="103"/>
      <c r="S108" s="106"/>
      <c r="T108" s="106"/>
      <c r="U108" s="107"/>
      <c r="V108" s="108"/>
      <c r="W108" s="99" t="s">
        <v>43</v>
      </c>
      <c r="X108" s="109">
        <f>0.8*$I108</f>
        <v>0</v>
      </c>
      <c r="Y108" s="109">
        <f>2*J108</f>
        <v>0</v>
      </c>
      <c r="Z108" s="99" t="s">
        <v>44</v>
      </c>
      <c r="AA108" s="100">
        <f>0.8*K108</f>
        <v>0</v>
      </c>
      <c r="AB108" s="100">
        <f>2*K108</f>
        <v>0</v>
      </c>
      <c r="AC108" s="99" t="s">
        <v>44</v>
      </c>
      <c r="AD108" s="100" t="s">
        <v>45</v>
      </c>
      <c r="AE108" s="100" t="s">
        <v>46</v>
      </c>
      <c r="AF108" s="100" t="s">
        <v>47</v>
      </c>
      <c r="AG108" s="99" t="s">
        <v>48</v>
      </c>
    </row>
    <row r="109" spans="1:33" x14ac:dyDescent="0.2">
      <c r="A109" s="114">
        <v>216.14099999999999</v>
      </c>
      <c r="B109" s="95">
        <f t="shared" si="6"/>
        <v>5</v>
      </c>
      <c r="C109" s="101" t="s">
        <v>586</v>
      </c>
      <c r="D109" s="96" t="str">
        <f t="shared" si="3"/>
        <v xml:space="preserve">                              Hot Cell Airlock</v>
      </c>
      <c r="E109" s="96" t="s">
        <v>35</v>
      </c>
      <c r="F109" s="96" t="s">
        <v>565</v>
      </c>
      <c r="G109" s="97">
        <v>1</v>
      </c>
      <c r="H109" s="96"/>
      <c r="I109" s="96"/>
      <c r="J109" s="102"/>
      <c r="K109" s="102"/>
      <c r="L109" s="103"/>
      <c r="M109" s="101"/>
      <c r="N109" s="104"/>
      <c r="O109" s="103"/>
      <c r="P109" s="112"/>
      <c r="Q109" s="105"/>
      <c r="R109" s="103"/>
      <c r="S109" s="106"/>
      <c r="T109" s="106"/>
      <c r="U109" s="107"/>
      <c r="V109" s="108"/>
      <c r="W109" s="99" t="s">
        <v>43</v>
      </c>
      <c r="X109" s="109">
        <f>0.8*$I109</f>
        <v>0</v>
      </c>
      <c r="Y109" s="109">
        <f>2*J109</f>
        <v>0</v>
      </c>
      <c r="Z109" s="99" t="s">
        <v>44</v>
      </c>
      <c r="AA109" s="100">
        <f>0.8*K109</f>
        <v>0</v>
      </c>
      <c r="AB109" s="100">
        <f>2*K109</f>
        <v>0</v>
      </c>
      <c r="AC109" s="99" t="s">
        <v>44</v>
      </c>
      <c r="AD109" s="100" t="s">
        <v>45</v>
      </c>
      <c r="AE109" s="100" t="s">
        <v>46</v>
      </c>
      <c r="AF109" s="100" t="s">
        <v>47</v>
      </c>
      <c r="AG109" s="99" t="s">
        <v>48</v>
      </c>
    </row>
    <row r="110" spans="1:33" ht="38.25" customHeight="1" x14ac:dyDescent="0.2">
      <c r="A110" s="114">
        <v>216.29</v>
      </c>
      <c r="B110" s="95">
        <f t="shared" si="6"/>
        <v>4</v>
      </c>
      <c r="C110" s="101" t="s">
        <v>576</v>
      </c>
      <c r="D110" s="96" t="str">
        <f t="shared" si="3"/>
        <v xml:space="preserve">                        HVAC</v>
      </c>
      <c r="E110" s="96" t="s">
        <v>35</v>
      </c>
      <c r="F110" s="96" t="s">
        <v>565</v>
      </c>
      <c r="G110" s="97">
        <v>1</v>
      </c>
      <c r="H110" s="96"/>
      <c r="I110" s="96"/>
      <c r="J110" s="102"/>
      <c r="K110" s="102"/>
      <c r="L110" s="103" t="s">
        <v>80</v>
      </c>
      <c r="M110" s="101" t="s">
        <v>605</v>
      </c>
      <c r="N110" s="104"/>
      <c r="O110" s="103" t="s">
        <v>82</v>
      </c>
      <c r="P110" s="112"/>
      <c r="Q110" s="105"/>
      <c r="R110" s="103"/>
      <c r="S110" s="106"/>
      <c r="T110" s="106"/>
      <c r="U110" s="107"/>
      <c r="V110" s="108"/>
      <c r="W110" s="99" t="s">
        <v>43</v>
      </c>
      <c r="X110" s="109">
        <f>0.9*$I110</f>
        <v>0</v>
      </c>
      <c r="Y110" s="109">
        <f>1.5*J110</f>
        <v>0</v>
      </c>
      <c r="Z110" s="99" t="s">
        <v>44</v>
      </c>
      <c r="AA110" s="100">
        <f>0.9*K110</f>
        <v>0</v>
      </c>
      <c r="AB110" s="100">
        <f>1.3*K110</f>
        <v>0</v>
      </c>
      <c r="AC110" s="99" t="s">
        <v>44</v>
      </c>
      <c r="AD110" s="100" t="s">
        <v>45</v>
      </c>
      <c r="AE110" s="100" t="s">
        <v>46</v>
      </c>
      <c r="AF110" s="100" t="s">
        <v>47</v>
      </c>
      <c r="AG110" s="99" t="s">
        <v>48</v>
      </c>
    </row>
    <row r="111" spans="1:33" x14ac:dyDescent="0.2">
      <c r="A111" s="114">
        <v>216.2</v>
      </c>
      <c r="B111" s="95">
        <f t="shared" si="6"/>
        <v>3</v>
      </c>
      <c r="C111" s="101" t="s">
        <v>606</v>
      </c>
      <c r="D111" s="96" t="str">
        <f t="shared" si="3"/>
        <v xml:space="preserve">                  Radioactive Waste Storage Building</v>
      </c>
      <c r="E111" s="96"/>
      <c r="F111" s="96"/>
      <c r="G111" s="97"/>
      <c r="H111" s="96"/>
      <c r="I111" s="96"/>
      <c r="J111" s="102"/>
      <c r="K111" s="102"/>
      <c r="L111" s="103"/>
      <c r="M111" s="103"/>
      <c r="N111" s="104"/>
      <c r="O111" s="104"/>
      <c r="P111" s="112"/>
      <c r="Q111" s="112"/>
      <c r="R111" s="104"/>
      <c r="S111" s="113"/>
      <c r="T111" s="106"/>
      <c r="U111" s="107"/>
      <c r="V111" s="108"/>
      <c r="W111" s="99"/>
      <c r="X111" s="109"/>
      <c r="Y111" s="109"/>
      <c r="Z111" s="99"/>
      <c r="AA111" s="100"/>
      <c r="AB111" s="100"/>
      <c r="AC111" s="99"/>
      <c r="AD111" s="100"/>
      <c r="AE111" s="100"/>
      <c r="AF111" s="100"/>
      <c r="AG111" s="99"/>
    </row>
    <row r="112" spans="1:33" ht="54" customHeight="1" x14ac:dyDescent="0.2">
      <c r="A112" s="114">
        <v>216.21</v>
      </c>
      <c r="B112" s="95">
        <f t="shared" si="6"/>
        <v>4</v>
      </c>
      <c r="C112" s="101" t="str">
        <f>_xlfn.CONCAT(C111," Roof")</f>
        <v>Radioactive Waste Storage Building Roof</v>
      </c>
      <c r="D112" s="96" t="str">
        <f t="shared" si="3"/>
        <v xml:space="preserve">                        Radioactive Waste Storage Building Roof</v>
      </c>
      <c r="E112" s="96" t="s">
        <v>35</v>
      </c>
      <c r="F112" s="96" t="s">
        <v>565</v>
      </c>
      <c r="G112" s="97">
        <v>1</v>
      </c>
      <c r="H112" s="96"/>
      <c r="I112" s="96"/>
      <c r="J112" s="102"/>
      <c r="K112" s="102">
        <f>1200 *1.53</f>
        <v>1836</v>
      </c>
      <c r="L112" s="103" t="s">
        <v>80</v>
      </c>
      <c r="M112" s="101" t="str">
        <f>_xlfn.CONCAT(C112, " Volume")</f>
        <v>Radioactive Waste Storage Building Roof Volume</v>
      </c>
      <c r="N112" s="104"/>
      <c r="O112" s="103" t="s">
        <v>82</v>
      </c>
      <c r="P112" s="112"/>
      <c r="Q112" s="105">
        <v>2024</v>
      </c>
      <c r="R112" s="103" t="s">
        <v>86</v>
      </c>
      <c r="S112" s="160" t="s">
        <v>74</v>
      </c>
      <c r="T112" s="160" t="s">
        <v>75</v>
      </c>
      <c r="U112" s="162" t="s">
        <v>76</v>
      </c>
      <c r="V112" s="108"/>
      <c r="W112" s="99" t="s">
        <v>43</v>
      </c>
      <c r="X112" s="109">
        <f>0.9*$I112</f>
        <v>0</v>
      </c>
      <c r="Y112" s="109">
        <f>1.5*J112</f>
        <v>0</v>
      </c>
      <c r="Z112" s="99" t="s">
        <v>44</v>
      </c>
      <c r="AA112" s="100">
        <f>0.9*K112</f>
        <v>1652.4</v>
      </c>
      <c r="AB112" s="100">
        <f>1.3*K112</f>
        <v>2386.8000000000002</v>
      </c>
      <c r="AC112" s="99" t="s">
        <v>44</v>
      </c>
      <c r="AD112" s="100" t="s">
        <v>45</v>
      </c>
      <c r="AE112" s="100" t="s">
        <v>46</v>
      </c>
      <c r="AF112" s="100" t="s">
        <v>47</v>
      </c>
      <c r="AG112" s="99" t="s">
        <v>48</v>
      </c>
    </row>
    <row r="113" spans="1:33" ht="54" customHeight="1" x14ac:dyDescent="0.2">
      <c r="A113" s="114">
        <v>216.22</v>
      </c>
      <c r="B113" s="95">
        <f t="shared" si="6"/>
        <v>4</v>
      </c>
      <c r="C113" s="101" t="str">
        <f>_xlfn.CONCAT(C111," Basement")</f>
        <v>Radioactive Waste Storage Building Basement</v>
      </c>
      <c r="D113" s="96" t="str">
        <f t="shared" si="3"/>
        <v xml:space="preserve">                        Radioactive Waste Storage Building Basement</v>
      </c>
      <c r="E113" s="96" t="s">
        <v>35</v>
      </c>
      <c r="F113" s="96" t="s">
        <v>565</v>
      </c>
      <c r="G113" s="97">
        <v>1</v>
      </c>
      <c r="H113" s="96"/>
      <c r="I113" s="96"/>
      <c r="J113" s="102"/>
      <c r="K113" s="102">
        <f>943.9*1.53</f>
        <v>1444.1669999999999</v>
      </c>
      <c r="L113" s="103" t="s">
        <v>80</v>
      </c>
      <c r="M113" s="101" t="str">
        <f>_xlfn.CONCAT(C113, " Volume")</f>
        <v>Radioactive Waste Storage Building Basement Volume</v>
      </c>
      <c r="N113" s="104"/>
      <c r="O113" s="103" t="s">
        <v>82</v>
      </c>
      <c r="P113" s="112"/>
      <c r="Q113" s="105">
        <v>2024</v>
      </c>
      <c r="R113" s="103" t="s">
        <v>86</v>
      </c>
      <c r="S113" s="161"/>
      <c r="T113" s="161"/>
      <c r="U113" s="161"/>
      <c r="V113" s="108"/>
      <c r="W113" s="99" t="s">
        <v>43</v>
      </c>
      <c r="X113" s="109">
        <f>0.9*$I113</f>
        <v>0</v>
      </c>
      <c r="Y113" s="109">
        <f>1.5*J113</f>
        <v>0</v>
      </c>
      <c r="Z113" s="99" t="s">
        <v>44</v>
      </c>
      <c r="AA113" s="100">
        <f>0.9*K113</f>
        <v>1299.7502999999999</v>
      </c>
      <c r="AB113" s="100">
        <f>1.3*K113</f>
        <v>1877.4170999999999</v>
      </c>
      <c r="AC113" s="99" t="s">
        <v>44</v>
      </c>
      <c r="AD113" s="100" t="s">
        <v>45</v>
      </c>
      <c r="AE113" s="100" t="s">
        <v>46</v>
      </c>
      <c r="AF113" s="100" t="s">
        <v>47</v>
      </c>
      <c r="AG113" s="99" t="s">
        <v>48</v>
      </c>
    </row>
    <row r="114" spans="1:33" ht="54" customHeight="1" x14ac:dyDescent="0.2">
      <c r="A114" s="114">
        <v>216.23</v>
      </c>
      <c r="B114" s="95">
        <f t="shared" si="6"/>
        <v>4</v>
      </c>
      <c r="C114" s="101" t="str">
        <f>_xlfn.CONCAT(C111," Walls")</f>
        <v>Radioactive Waste Storage Building Walls</v>
      </c>
      <c r="D114" s="96" t="str">
        <f t="shared" si="3"/>
        <v xml:space="preserve">                        Radioactive Waste Storage Building Walls</v>
      </c>
      <c r="E114" s="96" t="s">
        <v>35</v>
      </c>
      <c r="F114" s="96" t="s">
        <v>565</v>
      </c>
      <c r="G114" s="97">
        <v>1</v>
      </c>
      <c r="H114" s="96"/>
      <c r="I114" s="96"/>
      <c r="J114" s="102"/>
      <c r="K114" s="102">
        <f>721.21*1.53</f>
        <v>1103.4513000000002</v>
      </c>
      <c r="L114" s="103" t="s">
        <v>80</v>
      </c>
      <c r="M114" s="101" t="str">
        <f>_xlfn.CONCAT(C114, " Volume")</f>
        <v>Radioactive Waste Storage Building Walls Volume</v>
      </c>
      <c r="N114" s="104"/>
      <c r="O114" s="103" t="s">
        <v>82</v>
      </c>
      <c r="P114" s="112"/>
      <c r="Q114" s="105">
        <v>2024</v>
      </c>
      <c r="R114" s="103" t="s">
        <v>86</v>
      </c>
      <c r="S114" s="152"/>
      <c r="T114" s="152"/>
      <c r="U114" s="152"/>
      <c r="V114" s="108"/>
      <c r="W114" s="99" t="s">
        <v>43</v>
      </c>
      <c r="X114" s="109">
        <f>0.9*$I114</f>
        <v>0</v>
      </c>
      <c r="Y114" s="109">
        <f>1.5*J114</f>
        <v>0</v>
      </c>
      <c r="Z114" s="99" t="s">
        <v>44</v>
      </c>
      <c r="AA114" s="100">
        <f>0.9*K114</f>
        <v>993.10617000000013</v>
      </c>
      <c r="AB114" s="100">
        <f>1.3*K114</f>
        <v>1434.4866900000002</v>
      </c>
      <c r="AC114" s="99" t="s">
        <v>44</v>
      </c>
      <c r="AD114" s="100" t="s">
        <v>45</v>
      </c>
      <c r="AE114" s="100" t="s">
        <v>46</v>
      </c>
      <c r="AF114" s="100" t="s">
        <v>47</v>
      </c>
      <c r="AG114" s="99" t="s">
        <v>48</v>
      </c>
    </row>
    <row r="115" spans="1:33" ht="38.25" customHeight="1" x14ac:dyDescent="0.2">
      <c r="A115" s="114">
        <v>216.29</v>
      </c>
      <c r="B115" s="95">
        <f t="shared" si="6"/>
        <v>4</v>
      </c>
      <c r="C115" s="101" t="s">
        <v>576</v>
      </c>
      <c r="D115" s="96" t="str">
        <f t="shared" si="3"/>
        <v xml:space="preserve">                        HVAC</v>
      </c>
      <c r="E115" s="96" t="s">
        <v>35</v>
      </c>
      <c r="F115" s="96" t="s">
        <v>565</v>
      </c>
      <c r="G115" s="97">
        <v>1</v>
      </c>
      <c r="H115" s="96"/>
      <c r="I115" s="96"/>
      <c r="J115" s="102"/>
      <c r="K115" s="102"/>
      <c r="L115" s="103" t="s">
        <v>80</v>
      </c>
      <c r="M115" s="101" t="s">
        <v>607</v>
      </c>
      <c r="N115" s="104"/>
      <c r="O115" s="103" t="s">
        <v>82</v>
      </c>
      <c r="P115" s="112"/>
      <c r="Q115" s="105"/>
      <c r="R115" s="103"/>
      <c r="S115" s="106"/>
      <c r="T115" s="106"/>
      <c r="U115" s="107"/>
      <c r="V115" s="108"/>
      <c r="W115" s="99" t="s">
        <v>43</v>
      </c>
      <c r="X115" s="109">
        <f>0.9*$I115</f>
        <v>0</v>
      </c>
      <c r="Y115" s="109">
        <f>1.5*J115</f>
        <v>0</v>
      </c>
      <c r="Z115" s="99" t="s">
        <v>44</v>
      </c>
      <c r="AA115" s="100">
        <f>0.9*K115</f>
        <v>0</v>
      </c>
      <c r="AB115" s="100">
        <f>1.3*K115</f>
        <v>0</v>
      </c>
      <c r="AC115" s="99" t="s">
        <v>44</v>
      </c>
      <c r="AD115" s="100" t="s">
        <v>45</v>
      </c>
      <c r="AE115" s="100" t="s">
        <v>46</v>
      </c>
      <c r="AF115" s="100" t="s">
        <v>47</v>
      </c>
      <c r="AG115" s="99" t="s">
        <v>48</v>
      </c>
    </row>
    <row r="116" spans="1:33" ht="25.5" customHeight="1" x14ac:dyDescent="0.2">
      <c r="A116" s="114">
        <v>216.3</v>
      </c>
      <c r="B116" s="95">
        <f>IF(ISNUMBER(A116),
    IF(AND(A116=INT(A116), MOD(A116, 10) = 0), 0,
        IF(AND(A116=INT(A116), LEN(A116)=2), 1,
            IF(AND(A116=INT(A116), LEN(A116)=3), 2,
                LEN(A116) - FIND(".", A116) + 2)
        )
    ),
"")</f>
        <v>3</v>
      </c>
      <c r="C116" s="101" t="s">
        <v>608</v>
      </c>
      <c r="D116" s="96" t="str">
        <f t="shared" ref="D116:D179" si="7">REPT("   ", B116*2) &amp; C116</f>
        <v xml:space="preserve">                  Radioactive Waste Management Facility Integrated Control Room</v>
      </c>
      <c r="E116" s="96"/>
      <c r="F116" s="96"/>
      <c r="G116" s="97"/>
      <c r="H116" s="96"/>
      <c r="I116" s="96"/>
      <c r="J116" s="102"/>
      <c r="K116" s="102"/>
      <c r="L116" s="103"/>
      <c r="M116" s="101"/>
      <c r="N116" s="104"/>
      <c r="O116" s="103"/>
      <c r="P116" s="112"/>
      <c r="Q116" s="105"/>
      <c r="R116" s="103"/>
      <c r="S116" s="106"/>
      <c r="T116" s="106"/>
      <c r="U116" s="107"/>
      <c r="V116" s="108"/>
      <c r="W116" s="99"/>
      <c r="X116" s="109"/>
      <c r="Y116" s="109"/>
      <c r="Z116" s="99"/>
      <c r="AA116" s="100"/>
      <c r="AB116" s="100"/>
      <c r="AC116" s="99"/>
      <c r="AD116" s="100"/>
      <c r="AE116" s="100"/>
      <c r="AF116" s="100"/>
      <c r="AG116" s="99"/>
    </row>
    <row r="117" spans="1:33" ht="94.5" customHeight="1" x14ac:dyDescent="0.2">
      <c r="A117" s="114">
        <v>216.31</v>
      </c>
      <c r="B117" s="95">
        <f>IF(ISNUMBER(A117),
    IF(AND(A117=INT(A117), MOD(A117, 10) = 0), 0,
        IF(AND(A117=INT(A117), LEN(A117)=2), 1,
            IF(AND(A117=INT(A117), LEN(A117)=3), 2,
                LEN(A117) - FIND(".", A117) + 2)
        )
    ),
"")</f>
        <v>4</v>
      </c>
      <c r="C117" s="101" t="str">
        <f>_xlfn.CONCAT(C116," Roof")</f>
        <v>Radioactive Waste Management Facility Integrated Control Room Roof</v>
      </c>
      <c r="D117" s="96" t="str">
        <f t="shared" si="7"/>
        <v xml:space="preserve">                        Radioactive Waste Management Facility Integrated Control Room Roof</v>
      </c>
      <c r="E117" s="96" t="s">
        <v>35</v>
      </c>
      <c r="F117" s="96" t="s">
        <v>565</v>
      </c>
      <c r="G117" s="97">
        <v>1</v>
      </c>
      <c r="H117" s="96"/>
      <c r="I117" s="96"/>
      <c r="J117" s="102"/>
      <c r="K117" s="102">
        <f>1200 *1.53</f>
        <v>1836</v>
      </c>
      <c r="L117" s="103" t="s">
        <v>80</v>
      </c>
      <c r="M117" s="101" t="str">
        <f>_xlfn.CONCAT(C117, " Volume")</f>
        <v>Radioactive Waste Management Facility Integrated Control Room Roof Volume</v>
      </c>
      <c r="N117" s="104"/>
      <c r="O117" s="103" t="s">
        <v>82</v>
      </c>
      <c r="P117" s="112"/>
      <c r="Q117" s="105">
        <v>2024</v>
      </c>
      <c r="R117" s="103" t="s">
        <v>86</v>
      </c>
      <c r="S117" s="160" t="s">
        <v>575</v>
      </c>
      <c r="T117" s="160" t="s">
        <v>75</v>
      </c>
      <c r="U117" s="162" t="s">
        <v>76</v>
      </c>
      <c r="V117" s="108"/>
      <c r="W117" s="99" t="s">
        <v>43</v>
      </c>
      <c r="X117" s="109">
        <f>0.9*$I117</f>
        <v>0</v>
      </c>
      <c r="Y117" s="109">
        <f>1.5*J117</f>
        <v>0</v>
      </c>
      <c r="Z117" s="99" t="s">
        <v>44</v>
      </c>
      <c r="AA117" s="100">
        <f>0.9*K117</f>
        <v>1652.4</v>
      </c>
      <c r="AB117" s="100">
        <f>1.3*K117</f>
        <v>2386.8000000000002</v>
      </c>
      <c r="AC117" s="99" t="s">
        <v>44</v>
      </c>
      <c r="AD117" s="100" t="s">
        <v>45</v>
      </c>
      <c r="AE117" s="100" t="s">
        <v>46</v>
      </c>
      <c r="AF117" s="100" t="s">
        <v>47</v>
      </c>
      <c r="AG117" s="99" t="s">
        <v>48</v>
      </c>
    </row>
    <row r="118" spans="1:33" ht="94.5" customHeight="1" x14ac:dyDescent="0.2">
      <c r="A118" s="114">
        <v>216.32</v>
      </c>
      <c r="B118" s="95">
        <f>IF(ISNUMBER(A118),
    IF(AND(A118=INT(A118), MOD(A118, 10) = 0), 0,
        IF(AND(A118=INT(A118), LEN(A118)=2), 1,
            IF(AND(A118=INT(A118), LEN(A118)=3), 2,
                LEN(A118) - FIND(".", A118) + 2)
        )
    ),
"")</f>
        <v>4</v>
      </c>
      <c r="C118" s="101" t="str">
        <f>_xlfn.CONCAT(C116," Basement")</f>
        <v>Radioactive Waste Management Facility Integrated Control Room Basement</v>
      </c>
      <c r="D118" s="96" t="str">
        <f t="shared" si="7"/>
        <v xml:space="preserve">                        Radioactive Waste Management Facility Integrated Control Room Basement</v>
      </c>
      <c r="E118" s="96" t="s">
        <v>35</v>
      </c>
      <c r="F118" s="96" t="s">
        <v>565</v>
      </c>
      <c r="G118" s="97">
        <v>1</v>
      </c>
      <c r="H118" s="96"/>
      <c r="I118" s="96"/>
      <c r="J118" s="102"/>
      <c r="K118" s="102">
        <f>943.9*1.53</f>
        <v>1444.1669999999999</v>
      </c>
      <c r="L118" s="103" t="s">
        <v>80</v>
      </c>
      <c r="M118" s="101" t="str">
        <f>_xlfn.CONCAT(C118, " Volume")</f>
        <v>Radioactive Waste Management Facility Integrated Control Room Basement Volume</v>
      </c>
      <c r="N118" s="104"/>
      <c r="O118" s="103" t="s">
        <v>82</v>
      </c>
      <c r="P118" s="112"/>
      <c r="Q118" s="105">
        <v>2024</v>
      </c>
      <c r="R118" s="103" t="s">
        <v>86</v>
      </c>
      <c r="S118" s="161"/>
      <c r="T118" s="161"/>
      <c r="U118" s="161"/>
      <c r="V118" s="108"/>
      <c r="W118" s="99" t="s">
        <v>43</v>
      </c>
      <c r="X118" s="109">
        <f>0.9*$I118</f>
        <v>0</v>
      </c>
      <c r="Y118" s="109">
        <f>1.5*J118</f>
        <v>0</v>
      </c>
      <c r="Z118" s="99" t="s">
        <v>44</v>
      </c>
      <c r="AA118" s="100">
        <f>0.9*K118</f>
        <v>1299.7502999999999</v>
      </c>
      <c r="AB118" s="100">
        <f>1.3*K118</f>
        <v>1877.4170999999999</v>
      </c>
      <c r="AC118" s="99" t="s">
        <v>44</v>
      </c>
      <c r="AD118" s="100" t="s">
        <v>45</v>
      </c>
      <c r="AE118" s="100" t="s">
        <v>46</v>
      </c>
      <c r="AF118" s="100" t="s">
        <v>47</v>
      </c>
      <c r="AG118" s="99" t="s">
        <v>48</v>
      </c>
    </row>
    <row r="119" spans="1:33" ht="94.5" customHeight="1" x14ac:dyDescent="0.2">
      <c r="A119" s="114">
        <v>216.33</v>
      </c>
      <c r="B119" s="95">
        <f>IF(ISNUMBER(A119),
    IF(AND(A119=INT(A119), MOD(A119, 10) = 0), 0,
        IF(AND(A119=INT(A119), LEN(A119)=2), 1,
            IF(AND(A119=INT(A119), LEN(A119)=3), 2,
                LEN(A119) - FIND(".", A119) + 2)
        )
    ),
"")</f>
        <v>4</v>
      </c>
      <c r="C119" s="101" t="str">
        <f>_xlfn.CONCAT(C116," Walls")</f>
        <v>Radioactive Waste Management Facility Integrated Control Room Walls</v>
      </c>
      <c r="D119" s="96" t="str">
        <f t="shared" si="7"/>
        <v xml:space="preserve">                        Radioactive Waste Management Facility Integrated Control Room Walls</v>
      </c>
      <c r="E119" s="96" t="s">
        <v>35</v>
      </c>
      <c r="F119" s="96" t="s">
        <v>565</v>
      </c>
      <c r="G119" s="97">
        <v>1</v>
      </c>
      <c r="H119" s="96"/>
      <c r="I119" s="96"/>
      <c r="J119" s="102"/>
      <c r="K119" s="102">
        <f>721.21*1.53</f>
        <v>1103.4513000000002</v>
      </c>
      <c r="L119" s="103" t="s">
        <v>80</v>
      </c>
      <c r="M119" s="101" t="str">
        <f>_xlfn.CONCAT(C119, " Volume")</f>
        <v>Radioactive Waste Management Facility Integrated Control Room Walls Volume</v>
      </c>
      <c r="N119" s="104"/>
      <c r="O119" s="103" t="s">
        <v>82</v>
      </c>
      <c r="P119" s="112"/>
      <c r="Q119" s="105">
        <v>2024</v>
      </c>
      <c r="R119" s="103" t="s">
        <v>86</v>
      </c>
      <c r="S119" s="152"/>
      <c r="T119" s="152"/>
      <c r="U119" s="152"/>
      <c r="V119" s="108"/>
      <c r="W119" s="99" t="s">
        <v>43</v>
      </c>
      <c r="X119" s="109">
        <f>0.9*$I119</f>
        <v>0</v>
      </c>
      <c r="Y119" s="109">
        <f>1.5*J119</f>
        <v>0</v>
      </c>
      <c r="Z119" s="99" t="s">
        <v>44</v>
      </c>
      <c r="AA119" s="100">
        <f>0.9*K119</f>
        <v>993.10617000000013</v>
      </c>
      <c r="AB119" s="100">
        <f>1.3*K119</f>
        <v>1434.4866900000002</v>
      </c>
      <c r="AC119" s="99" t="s">
        <v>44</v>
      </c>
      <c r="AD119" s="100" t="s">
        <v>45</v>
      </c>
      <c r="AE119" s="100" t="s">
        <v>46</v>
      </c>
      <c r="AF119" s="100" t="s">
        <v>47</v>
      </c>
      <c r="AG119" s="99" t="s">
        <v>48</v>
      </c>
    </row>
    <row r="120" spans="1:33" ht="94.5" customHeight="1" x14ac:dyDescent="0.2">
      <c r="A120" s="114">
        <v>216.39</v>
      </c>
      <c r="B120" s="95">
        <f>IF(ISNUMBER(A120),
    IF(AND(A120=INT(A120), MOD(A120, 10) = 0), 0,
        IF(AND(A120=INT(A120), LEN(A120)=2), 1,
            IF(AND(A120=INT(A120), LEN(A120)=3), 2,
                LEN(A120) - FIND(".", A120) + 2)
        )
    ),
"")</f>
        <v>4</v>
      </c>
      <c r="C120" s="101" t="s">
        <v>576</v>
      </c>
      <c r="D120" s="96" t="str">
        <f t="shared" si="7"/>
        <v xml:space="preserve">                        HVAC</v>
      </c>
      <c r="E120" s="96" t="s">
        <v>35</v>
      </c>
      <c r="F120" s="96" t="s">
        <v>565</v>
      </c>
      <c r="G120" s="97">
        <v>1</v>
      </c>
      <c r="H120" s="96"/>
      <c r="I120" s="96"/>
      <c r="J120" s="102"/>
      <c r="K120" s="102"/>
      <c r="L120" s="104" t="s">
        <v>80</v>
      </c>
      <c r="M120" s="113" t="str">
        <f>_xlfn.CONCAT(C116, " Volume")</f>
        <v>Radioactive Waste Management Facility Integrated Control Room Volume</v>
      </c>
      <c r="N120" s="104"/>
      <c r="O120" s="103" t="s">
        <v>82</v>
      </c>
      <c r="P120" s="112"/>
      <c r="Q120" s="105"/>
      <c r="R120" s="103"/>
      <c r="S120" s="106"/>
      <c r="T120" s="106"/>
      <c r="U120" s="107"/>
      <c r="V120" s="108"/>
      <c r="W120" s="99" t="s">
        <v>43</v>
      </c>
      <c r="X120" s="109">
        <f>0.9*$I120</f>
        <v>0</v>
      </c>
      <c r="Y120" s="109">
        <f>1.5*J120</f>
        <v>0</v>
      </c>
      <c r="Z120" s="99" t="s">
        <v>44</v>
      </c>
      <c r="AA120" s="100">
        <f>0.9*K120</f>
        <v>0</v>
      </c>
      <c r="AB120" s="100">
        <f>1.3*K120</f>
        <v>0</v>
      </c>
      <c r="AC120" s="99" t="s">
        <v>44</v>
      </c>
      <c r="AD120" s="100" t="s">
        <v>45</v>
      </c>
      <c r="AE120" s="100" t="s">
        <v>46</v>
      </c>
      <c r="AF120" s="100" t="s">
        <v>47</v>
      </c>
      <c r="AG120" s="99" t="s">
        <v>48</v>
      </c>
    </row>
    <row r="121" spans="1:33" ht="25.5" customHeight="1" x14ac:dyDescent="0.2">
      <c r="A121" s="114">
        <v>216.7</v>
      </c>
      <c r="B121" s="95">
        <f t="shared" ref="B121:B152" si="8">IF(ISNUMBER(A121),
IF(AND(A121=INT(A121), MOD(A121, 10) = 0), 0,
IF(AND(A121=INT(A121), LEN(A121)=2), 1,
IF(AND(A121=INT(A121), LEN(A121)=3), 2,
LEN(A121) - FIND(".", A121) + 2)
)
),
"")</f>
        <v>3</v>
      </c>
      <c r="C121" s="101" t="s">
        <v>609</v>
      </c>
      <c r="D121" s="96" t="str">
        <f t="shared" si="7"/>
        <v xml:space="preserve">                  Radioactive Waste Management Facility Admin Building</v>
      </c>
      <c r="E121" s="96"/>
      <c r="F121" s="96"/>
      <c r="G121" s="97"/>
      <c r="H121" s="96"/>
      <c r="I121" s="96"/>
      <c r="J121" s="102"/>
      <c r="K121" s="102"/>
      <c r="L121" s="103"/>
      <c r="M121" s="106"/>
      <c r="N121" s="104"/>
      <c r="O121" s="103"/>
      <c r="P121" s="112"/>
      <c r="Q121" s="105"/>
      <c r="R121" s="103"/>
      <c r="S121" s="106"/>
      <c r="T121" s="106"/>
      <c r="U121" s="107"/>
      <c r="V121" s="108"/>
      <c r="W121" s="99"/>
      <c r="X121" s="109"/>
      <c r="Y121" s="109"/>
      <c r="Z121" s="99"/>
      <c r="AA121" s="100"/>
      <c r="AB121" s="100"/>
      <c r="AC121" s="99"/>
      <c r="AD121" s="100"/>
      <c r="AE121" s="100"/>
      <c r="AF121" s="100"/>
      <c r="AG121" s="99"/>
    </row>
    <row r="122" spans="1:33" ht="81" customHeight="1" x14ac:dyDescent="0.2">
      <c r="A122" s="114">
        <v>216.71</v>
      </c>
      <c r="B122" s="95">
        <f t="shared" si="8"/>
        <v>4</v>
      </c>
      <c r="C122" s="101" t="str">
        <f>_xlfn.CONCAT(C121," Roof")</f>
        <v>Radioactive Waste Management Facility Admin Building Roof</v>
      </c>
      <c r="D122" s="96" t="str">
        <f t="shared" si="7"/>
        <v xml:space="preserve">                        Radioactive Waste Management Facility Admin Building Roof</v>
      </c>
      <c r="E122" s="96" t="s">
        <v>35</v>
      </c>
      <c r="F122" s="96" t="s">
        <v>565</v>
      </c>
      <c r="G122" s="97">
        <v>1</v>
      </c>
      <c r="H122" s="96"/>
      <c r="I122" s="96"/>
      <c r="J122" s="102"/>
      <c r="K122" s="102">
        <f>1200</f>
        <v>1200</v>
      </c>
      <c r="L122" s="103" t="s">
        <v>80</v>
      </c>
      <c r="M122" s="101" t="str">
        <f>_xlfn.CONCAT(C122, " Volume")</f>
        <v>Radioactive Waste Management Facility Admin Building Roof Volume</v>
      </c>
      <c r="N122" s="104"/>
      <c r="O122" s="103" t="s">
        <v>82</v>
      </c>
      <c r="P122" s="112"/>
      <c r="Q122" s="105">
        <v>2024</v>
      </c>
      <c r="R122" s="103" t="s">
        <v>86</v>
      </c>
      <c r="S122" s="160" t="s">
        <v>575</v>
      </c>
      <c r="T122" s="160" t="s">
        <v>75</v>
      </c>
      <c r="U122" s="162" t="s">
        <v>76</v>
      </c>
      <c r="V122" s="108"/>
      <c r="W122" s="99" t="s">
        <v>43</v>
      </c>
      <c r="X122" s="109">
        <f>0.9*$I122</f>
        <v>0</v>
      </c>
      <c r="Y122" s="109">
        <f>1.5*J122</f>
        <v>0</v>
      </c>
      <c r="Z122" s="99" t="s">
        <v>44</v>
      </c>
      <c r="AA122" s="100">
        <f>0.9*K122</f>
        <v>1080</v>
      </c>
      <c r="AB122" s="100">
        <f>1.3*K122</f>
        <v>1560</v>
      </c>
      <c r="AC122" s="99" t="s">
        <v>44</v>
      </c>
      <c r="AD122" s="100" t="s">
        <v>45</v>
      </c>
      <c r="AE122" s="100" t="s">
        <v>46</v>
      </c>
      <c r="AF122" s="100" t="s">
        <v>47</v>
      </c>
      <c r="AG122" s="99" t="s">
        <v>48</v>
      </c>
    </row>
    <row r="123" spans="1:33" ht="81" customHeight="1" x14ac:dyDescent="0.2">
      <c r="A123" s="114">
        <v>216.72</v>
      </c>
      <c r="B123" s="95">
        <f t="shared" si="8"/>
        <v>4</v>
      </c>
      <c r="C123" s="101" t="str">
        <f>_xlfn.CONCAT(C121," Basement")</f>
        <v>Radioactive Waste Management Facility Admin Building Basement</v>
      </c>
      <c r="D123" s="96" t="str">
        <f t="shared" si="7"/>
        <v xml:space="preserve">                        Radioactive Waste Management Facility Admin Building Basement</v>
      </c>
      <c r="E123" s="96" t="s">
        <v>35</v>
      </c>
      <c r="F123" s="96" t="s">
        <v>565</v>
      </c>
      <c r="G123" s="97">
        <v>1</v>
      </c>
      <c r="H123" s="96"/>
      <c r="I123" s="96"/>
      <c r="J123" s="102"/>
      <c r="K123" s="102">
        <f>943.9</f>
        <v>943.9</v>
      </c>
      <c r="L123" s="103" t="s">
        <v>80</v>
      </c>
      <c r="M123" s="101" t="str">
        <f>_xlfn.CONCAT(C123, " Volume")</f>
        <v>Radioactive Waste Management Facility Admin Building Basement Volume</v>
      </c>
      <c r="N123" s="104"/>
      <c r="O123" s="103" t="s">
        <v>82</v>
      </c>
      <c r="P123" s="112"/>
      <c r="Q123" s="105">
        <v>2024</v>
      </c>
      <c r="R123" s="103" t="s">
        <v>86</v>
      </c>
      <c r="S123" s="161"/>
      <c r="T123" s="161"/>
      <c r="U123" s="161"/>
      <c r="V123" s="108"/>
      <c r="W123" s="99" t="s">
        <v>43</v>
      </c>
      <c r="X123" s="109">
        <f>0.9*$I123</f>
        <v>0</v>
      </c>
      <c r="Y123" s="109">
        <f>1.5*J123</f>
        <v>0</v>
      </c>
      <c r="Z123" s="99" t="s">
        <v>44</v>
      </c>
      <c r="AA123" s="100">
        <f>0.9*K123</f>
        <v>849.51</v>
      </c>
      <c r="AB123" s="100">
        <f>1.3*K123</f>
        <v>1227.07</v>
      </c>
      <c r="AC123" s="99" t="s">
        <v>44</v>
      </c>
      <c r="AD123" s="100" t="s">
        <v>45</v>
      </c>
      <c r="AE123" s="100" t="s">
        <v>46</v>
      </c>
      <c r="AF123" s="100" t="s">
        <v>47</v>
      </c>
      <c r="AG123" s="99" t="s">
        <v>48</v>
      </c>
    </row>
    <row r="124" spans="1:33" ht="81" customHeight="1" x14ac:dyDescent="0.2">
      <c r="A124" s="114">
        <v>216.73</v>
      </c>
      <c r="B124" s="95">
        <f t="shared" si="8"/>
        <v>4</v>
      </c>
      <c r="C124" s="101" t="str">
        <f>_xlfn.CONCAT(C121," Walls")</f>
        <v>Radioactive Waste Management Facility Admin Building Walls</v>
      </c>
      <c r="D124" s="96" t="str">
        <f t="shared" si="7"/>
        <v xml:space="preserve">                        Radioactive Waste Management Facility Admin Building Walls</v>
      </c>
      <c r="E124" s="96" t="s">
        <v>35</v>
      </c>
      <c r="F124" s="96" t="s">
        <v>565</v>
      </c>
      <c r="G124" s="97">
        <v>1</v>
      </c>
      <c r="H124" s="96"/>
      <c r="I124" s="96"/>
      <c r="J124" s="102"/>
      <c r="K124" s="102">
        <f>721.21</f>
        <v>721.21</v>
      </c>
      <c r="L124" s="103" t="s">
        <v>80</v>
      </c>
      <c r="M124" s="101" t="str">
        <f>_xlfn.CONCAT(C124, " Volume")</f>
        <v>Radioactive Waste Management Facility Admin Building Walls Volume</v>
      </c>
      <c r="N124" s="104"/>
      <c r="O124" s="103" t="s">
        <v>82</v>
      </c>
      <c r="P124" s="112"/>
      <c r="Q124" s="105">
        <v>2024</v>
      </c>
      <c r="R124" s="103" t="s">
        <v>86</v>
      </c>
      <c r="S124" s="152"/>
      <c r="T124" s="152"/>
      <c r="U124" s="152"/>
      <c r="V124" s="108"/>
      <c r="W124" s="99" t="s">
        <v>43</v>
      </c>
      <c r="X124" s="109">
        <f>0.9*$I124</f>
        <v>0</v>
      </c>
      <c r="Y124" s="109">
        <f>1.5*J124</f>
        <v>0</v>
      </c>
      <c r="Z124" s="99" t="s">
        <v>44</v>
      </c>
      <c r="AA124" s="100">
        <f>0.9*K124</f>
        <v>649.08900000000006</v>
      </c>
      <c r="AB124" s="100">
        <f>1.3*K124</f>
        <v>937.57300000000009</v>
      </c>
      <c r="AC124" s="99" t="s">
        <v>44</v>
      </c>
      <c r="AD124" s="100" t="s">
        <v>45</v>
      </c>
      <c r="AE124" s="100" t="s">
        <v>46</v>
      </c>
      <c r="AF124" s="100" t="s">
        <v>47</v>
      </c>
      <c r="AG124" s="99" t="s">
        <v>48</v>
      </c>
    </row>
    <row r="125" spans="1:33" ht="67.5" customHeight="1" x14ac:dyDescent="0.2">
      <c r="A125" s="114">
        <v>216.79</v>
      </c>
      <c r="B125" s="95">
        <f t="shared" si="8"/>
        <v>4</v>
      </c>
      <c r="C125" s="101" t="s">
        <v>576</v>
      </c>
      <c r="D125" s="96" t="str">
        <f t="shared" si="7"/>
        <v xml:space="preserve">                        HVAC</v>
      </c>
      <c r="E125" s="96" t="s">
        <v>35</v>
      </c>
      <c r="F125" s="96" t="s">
        <v>565</v>
      </c>
      <c r="G125" s="97">
        <v>1</v>
      </c>
      <c r="H125" s="96"/>
      <c r="I125" s="96"/>
      <c r="J125" s="102"/>
      <c r="K125" s="102"/>
      <c r="L125" s="103" t="s">
        <v>80</v>
      </c>
      <c r="M125" s="101" t="str">
        <f>_xlfn.CONCAT(C121, " Volume")</f>
        <v>Radioactive Waste Management Facility Admin Building Volume</v>
      </c>
      <c r="N125" s="104"/>
      <c r="O125" s="103" t="s">
        <v>82</v>
      </c>
      <c r="P125" s="112"/>
      <c r="Q125" s="105"/>
      <c r="R125" s="103"/>
      <c r="S125" s="106"/>
      <c r="T125" s="106"/>
      <c r="U125" s="107"/>
      <c r="V125" s="108"/>
      <c r="W125" s="99" t="s">
        <v>43</v>
      </c>
      <c r="X125" s="109">
        <f>0.9*$I125</f>
        <v>0</v>
      </c>
      <c r="Y125" s="109">
        <f>1.5*J125</f>
        <v>0</v>
      </c>
      <c r="Z125" s="99" t="s">
        <v>44</v>
      </c>
      <c r="AA125" s="100">
        <f>0.9*K125</f>
        <v>0</v>
      </c>
      <c r="AB125" s="100">
        <f>1.3*K125</f>
        <v>0</v>
      </c>
      <c r="AC125" s="99" t="s">
        <v>44</v>
      </c>
      <c r="AD125" s="100" t="s">
        <v>45</v>
      </c>
      <c r="AE125" s="100" t="s">
        <v>46</v>
      </c>
      <c r="AF125" s="100" t="s">
        <v>47</v>
      </c>
      <c r="AG125" s="99" t="s">
        <v>48</v>
      </c>
    </row>
    <row r="126" spans="1:33" ht="25.5" customHeight="1" x14ac:dyDescent="0.2">
      <c r="A126" s="114">
        <v>216.8</v>
      </c>
      <c r="B126" s="95">
        <f t="shared" si="8"/>
        <v>3</v>
      </c>
      <c r="C126" s="101" t="s">
        <v>610</v>
      </c>
      <c r="D126" s="96" t="str">
        <f t="shared" si="7"/>
        <v xml:space="preserve">                  Radioactive Waste Management Facility Security Building</v>
      </c>
      <c r="E126" s="96"/>
      <c r="F126" s="96"/>
      <c r="G126" s="97"/>
      <c r="H126" s="96"/>
      <c r="I126" s="96"/>
      <c r="J126" s="102"/>
      <c r="K126" s="102"/>
      <c r="L126" s="103"/>
      <c r="M126" s="106"/>
      <c r="N126" s="104"/>
      <c r="O126" s="103"/>
      <c r="P126" s="112"/>
      <c r="Q126" s="105"/>
      <c r="R126" s="103"/>
      <c r="S126" s="106"/>
      <c r="T126" s="106"/>
      <c r="U126" s="107"/>
      <c r="V126" s="108"/>
      <c r="W126" s="99"/>
      <c r="X126" s="109"/>
      <c r="Y126" s="109"/>
      <c r="Z126" s="99"/>
      <c r="AA126" s="100"/>
      <c r="AB126" s="100"/>
      <c r="AC126" s="99"/>
      <c r="AD126" s="100"/>
      <c r="AE126" s="100"/>
      <c r="AF126" s="100"/>
      <c r="AG126" s="99"/>
    </row>
    <row r="127" spans="1:33" ht="81" customHeight="1" x14ac:dyDescent="0.2">
      <c r="A127" s="114">
        <v>216.81</v>
      </c>
      <c r="B127" s="95">
        <f t="shared" si="8"/>
        <v>4</v>
      </c>
      <c r="C127" s="101" t="str">
        <f>_xlfn.CONCAT(C126," Roof")</f>
        <v>Radioactive Waste Management Facility Security Building Roof</v>
      </c>
      <c r="D127" s="96" t="str">
        <f t="shared" si="7"/>
        <v xml:space="preserve">                        Radioactive Waste Management Facility Security Building Roof</v>
      </c>
      <c r="E127" s="96" t="s">
        <v>35</v>
      </c>
      <c r="F127" s="96" t="s">
        <v>565</v>
      </c>
      <c r="G127" s="97">
        <v>1</v>
      </c>
      <c r="H127" s="96"/>
      <c r="I127" s="96"/>
      <c r="J127" s="102"/>
      <c r="K127" s="102">
        <f>1200</f>
        <v>1200</v>
      </c>
      <c r="L127" s="103" t="s">
        <v>80</v>
      </c>
      <c r="M127" s="101" t="str">
        <f>_xlfn.CONCAT(C127, " Volume")</f>
        <v>Radioactive Waste Management Facility Security Building Roof Volume</v>
      </c>
      <c r="N127" s="104"/>
      <c r="O127" s="103" t="s">
        <v>82</v>
      </c>
      <c r="P127" s="112"/>
      <c r="Q127" s="105">
        <v>2024</v>
      </c>
      <c r="R127" s="103" t="s">
        <v>86</v>
      </c>
      <c r="S127" s="160" t="s">
        <v>575</v>
      </c>
      <c r="T127" s="160" t="s">
        <v>75</v>
      </c>
      <c r="U127" s="162" t="s">
        <v>76</v>
      </c>
      <c r="V127" s="108"/>
      <c r="W127" s="99" t="s">
        <v>43</v>
      </c>
      <c r="X127" s="109">
        <f>0.9*$I127</f>
        <v>0</v>
      </c>
      <c r="Y127" s="109">
        <f>1.5*J127</f>
        <v>0</v>
      </c>
      <c r="Z127" s="99" t="s">
        <v>44</v>
      </c>
      <c r="AA127" s="100">
        <f>0.9*K127</f>
        <v>1080</v>
      </c>
      <c r="AB127" s="100">
        <f>1.3*K127</f>
        <v>1560</v>
      </c>
      <c r="AC127" s="99" t="s">
        <v>44</v>
      </c>
      <c r="AD127" s="100" t="s">
        <v>45</v>
      </c>
      <c r="AE127" s="100" t="s">
        <v>46</v>
      </c>
      <c r="AF127" s="100" t="s">
        <v>47</v>
      </c>
      <c r="AG127" s="99" t="s">
        <v>48</v>
      </c>
    </row>
    <row r="128" spans="1:33" ht="81" customHeight="1" x14ac:dyDescent="0.2">
      <c r="A128" s="114">
        <v>216.82</v>
      </c>
      <c r="B128" s="95">
        <f t="shared" si="8"/>
        <v>4</v>
      </c>
      <c r="C128" s="101" t="str">
        <f>_xlfn.CONCAT(C126," Basement")</f>
        <v>Radioactive Waste Management Facility Security Building Basement</v>
      </c>
      <c r="D128" s="96" t="str">
        <f t="shared" si="7"/>
        <v xml:space="preserve">                        Radioactive Waste Management Facility Security Building Basement</v>
      </c>
      <c r="E128" s="96" t="s">
        <v>35</v>
      </c>
      <c r="F128" s="96" t="s">
        <v>565</v>
      </c>
      <c r="G128" s="97">
        <v>1</v>
      </c>
      <c r="H128" s="96"/>
      <c r="I128" s="96"/>
      <c r="J128" s="102"/>
      <c r="K128" s="102">
        <f>943.9</f>
        <v>943.9</v>
      </c>
      <c r="L128" s="103" t="s">
        <v>80</v>
      </c>
      <c r="M128" s="101" t="str">
        <f>_xlfn.CONCAT(C128, " Volume")</f>
        <v>Radioactive Waste Management Facility Security Building Basement Volume</v>
      </c>
      <c r="N128" s="104"/>
      <c r="O128" s="103" t="s">
        <v>82</v>
      </c>
      <c r="P128" s="112"/>
      <c r="Q128" s="105">
        <v>2024</v>
      </c>
      <c r="R128" s="103" t="s">
        <v>86</v>
      </c>
      <c r="S128" s="161"/>
      <c r="T128" s="161"/>
      <c r="U128" s="161"/>
      <c r="V128" s="108"/>
      <c r="W128" s="99" t="s">
        <v>43</v>
      </c>
      <c r="X128" s="109">
        <f>0.9*$I128</f>
        <v>0</v>
      </c>
      <c r="Y128" s="109">
        <f>1.5*J128</f>
        <v>0</v>
      </c>
      <c r="Z128" s="99" t="s">
        <v>44</v>
      </c>
      <c r="AA128" s="100">
        <f>0.9*K128</f>
        <v>849.51</v>
      </c>
      <c r="AB128" s="100">
        <f>1.3*K128</f>
        <v>1227.07</v>
      </c>
      <c r="AC128" s="99" t="s">
        <v>44</v>
      </c>
      <c r="AD128" s="100" t="s">
        <v>45</v>
      </c>
      <c r="AE128" s="100" t="s">
        <v>46</v>
      </c>
      <c r="AF128" s="100" t="s">
        <v>47</v>
      </c>
      <c r="AG128" s="99" t="s">
        <v>48</v>
      </c>
    </row>
    <row r="129" spans="1:33" ht="81" customHeight="1" x14ac:dyDescent="0.2">
      <c r="A129" s="114">
        <v>216.83</v>
      </c>
      <c r="B129" s="95">
        <f t="shared" si="8"/>
        <v>4</v>
      </c>
      <c r="C129" s="101" t="str">
        <f>_xlfn.CONCAT(C126," Walls")</f>
        <v>Radioactive Waste Management Facility Security Building Walls</v>
      </c>
      <c r="D129" s="96" t="str">
        <f t="shared" si="7"/>
        <v xml:space="preserve">                        Radioactive Waste Management Facility Security Building Walls</v>
      </c>
      <c r="E129" s="96" t="s">
        <v>35</v>
      </c>
      <c r="F129" s="96" t="s">
        <v>565</v>
      </c>
      <c r="G129" s="97">
        <v>1</v>
      </c>
      <c r="H129" s="96"/>
      <c r="I129" s="96"/>
      <c r="J129" s="102"/>
      <c r="K129" s="102">
        <f>721.21</f>
        <v>721.21</v>
      </c>
      <c r="L129" s="103" t="s">
        <v>80</v>
      </c>
      <c r="M129" s="101" t="str">
        <f>_xlfn.CONCAT(C129, " Volume")</f>
        <v>Radioactive Waste Management Facility Security Building Walls Volume</v>
      </c>
      <c r="N129" s="104"/>
      <c r="O129" s="103" t="s">
        <v>82</v>
      </c>
      <c r="P129" s="112"/>
      <c r="Q129" s="105">
        <v>2024</v>
      </c>
      <c r="R129" s="103" t="s">
        <v>86</v>
      </c>
      <c r="S129" s="152"/>
      <c r="T129" s="152"/>
      <c r="U129" s="152"/>
      <c r="V129" s="108"/>
      <c r="W129" s="99" t="s">
        <v>43</v>
      </c>
      <c r="X129" s="109">
        <f>0.9*$I129</f>
        <v>0</v>
      </c>
      <c r="Y129" s="109">
        <f>1.5*J129</f>
        <v>0</v>
      </c>
      <c r="Z129" s="99" t="s">
        <v>44</v>
      </c>
      <c r="AA129" s="100">
        <f>0.9*K129</f>
        <v>649.08900000000006</v>
      </c>
      <c r="AB129" s="100">
        <f>1.3*K129</f>
        <v>937.57300000000009</v>
      </c>
      <c r="AC129" s="99" t="s">
        <v>44</v>
      </c>
      <c r="AD129" s="100" t="s">
        <v>45</v>
      </c>
      <c r="AE129" s="100" t="s">
        <v>46</v>
      </c>
      <c r="AF129" s="100" t="s">
        <v>47</v>
      </c>
      <c r="AG129" s="99" t="s">
        <v>48</v>
      </c>
    </row>
    <row r="130" spans="1:33" ht="67.5" customHeight="1" x14ac:dyDescent="0.2">
      <c r="A130" s="114">
        <v>216.89</v>
      </c>
      <c r="B130" s="95">
        <f t="shared" si="8"/>
        <v>4</v>
      </c>
      <c r="C130" s="101" t="s">
        <v>576</v>
      </c>
      <c r="D130" s="96" t="str">
        <f t="shared" si="7"/>
        <v xml:space="preserve">                        HVAC</v>
      </c>
      <c r="E130" s="96" t="s">
        <v>35</v>
      </c>
      <c r="F130" s="96" t="s">
        <v>565</v>
      </c>
      <c r="G130" s="97">
        <v>1</v>
      </c>
      <c r="H130" s="96"/>
      <c r="I130" s="96"/>
      <c r="J130" s="102"/>
      <c r="K130" s="102"/>
      <c r="L130" s="103" t="s">
        <v>80</v>
      </c>
      <c r="M130" s="101" t="str">
        <f>_xlfn.CONCAT(C126, " Volume")</f>
        <v>Radioactive Waste Management Facility Security Building Volume</v>
      </c>
      <c r="N130" s="104"/>
      <c r="O130" s="103" t="s">
        <v>82</v>
      </c>
      <c r="P130" s="112"/>
      <c r="Q130" s="105"/>
      <c r="R130" s="103"/>
      <c r="S130" s="106"/>
      <c r="T130" s="106"/>
      <c r="U130" s="107"/>
      <c r="V130" s="108"/>
      <c r="W130" s="99" t="s">
        <v>43</v>
      </c>
      <c r="X130" s="109">
        <f>0.9*$I130</f>
        <v>0</v>
      </c>
      <c r="Y130" s="109">
        <f>1.5*J130</f>
        <v>0</v>
      </c>
      <c r="Z130" s="99" t="s">
        <v>44</v>
      </c>
      <c r="AA130" s="100">
        <f>0.9*K130</f>
        <v>0</v>
      </c>
      <c r="AB130" s="100">
        <f>1.3*K130</f>
        <v>0</v>
      </c>
      <c r="AC130" s="99" t="s">
        <v>44</v>
      </c>
      <c r="AD130" s="100" t="s">
        <v>45</v>
      </c>
      <c r="AE130" s="100" t="s">
        <v>46</v>
      </c>
      <c r="AF130" s="100" t="s">
        <v>47</v>
      </c>
      <c r="AG130" s="99" t="s">
        <v>48</v>
      </c>
    </row>
    <row r="131" spans="1:33" ht="39" customHeight="1" x14ac:dyDescent="0.2">
      <c r="A131" s="114">
        <v>216.9</v>
      </c>
      <c r="B131" s="95">
        <f t="shared" si="8"/>
        <v>3</v>
      </c>
      <c r="C131" s="101" t="s">
        <v>567</v>
      </c>
      <c r="D131" s="96" t="str">
        <f t="shared" si="7"/>
        <v xml:space="preserve">                  Security Fencing</v>
      </c>
      <c r="E131" s="96" t="s">
        <v>35</v>
      </c>
      <c r="F131" s="96" t="s">
        <v>565</v>
      </c>
      <c r="G131" s="97">
        <v>1</v>
      </c>
      <c r="H131" s="96"/>
      <c r="I131" s="96"/>
      <c r="J131" s="102"/>
      <c r="K131" s="102">
        <f>75/0.3048</f>
        <v>246.06299212598424</v>
      </c>
      <c r="L131" s="103" t="s">
        <v>568</v>
      </c>
      <c r="M131" s="101" t="s">
        <v>611</v>
      </c>
      <c r="N131" s="104"/>
      <c r="O131" s="103"/>
      <c r="P131" s="112"/>
      <c r="Q131" s="105">
        <v>2009</v>
      </c>
      <c r="R131" s="103" t="s">
        <v>73</v>
      </c>
      <c r="S131" s="106" t="s">
        <v>570</v>
      </c>
      <c r="T131" s="106" t="s">
        <v>571</v>
      </c>
      <c r="U131" s="116" t="s">
        <v>572</v>
      </c>
      <c r="V131" s="108"/>
      <c r="W131" s="99" t="s">
        <v>43</v>
      </c>
      <c r="X131" s="109">
        <f>0.9*$J131</f>
        <v>0</v>
      </c>
      <c r="Y131" s="109">
        <f>1.5*J131</f>
        <v>0</v>
      </c>
      <c r="Z131" s="99" t="s">
        <v>44</v>
      </c>
      <c r="AA131" s="100">
        <f>0.9*K131</f>
        <v>221.45669291338581</v>
      </c>
      <c r="AB131" s="100">
        <f>1.3*K131</f>
        <v>319.8818897637795</v>
      </c>
      <c r="AC131" s="99" t="s">
        <v>44</v>
      </c>
      <c r="AD131" s="100" t="s">
        <v>45</v>
      </c>
      <c r="AE131" s="100" t="s">
        <v>46</v>
      </c>
      <c r="AF131" s="100" t="s">
        <v>47</v>
      </c>
      <c r="AG131" s="99" t="s">
        <v>48</v>
      </c>
    </row>
    <row r="132" spans="1:33" s="140" customFormat="1" ht="25.5" customHeight="1" x14ac:dyDescent="0.2">
      <c r="A132" s="127">
        <v>22</v>
      </c>
      <c r="B132" s="128">
        <f t="shared" si="8"/>
        <v>1</v>
      </c>
      <c r="C132" s="129" t="s">
        <v>612</v>
      </c>
      <c r="D132" s="130" t="str">
        <f t="shared" si="7"/>
        <v xml:space="preserve">      Manufacturing Facility Equipment</v>
      </c>
      <c r="E132" s="130" t="s">
        <v>35</v>
      </c>
      <c r="F132" s="130" t="s">
        <v>613</v>
      </c>
      <c r="G132" s="131">
        <v>1</v>
      </c>
      <c r="H132" s="130"/>
      <c r="I132" s="130"/>
      <c r="J132" s="132"/>
      <c r="K132" s="132">
        <v>74748072.817566499</v>
      </c>
      <c r="L132" s="133" t="s">
        <v>614</v>
      </c>
      <c r="M132" s="130" t="s">
        <v>613</v>
      </c>
      <c r="N132" s="134">
        <v>1</v>
      </c>
      <c r="O132" s="134" t="s">
        <v>614</v>
      </c>
      <c r="P132" s="135">
        <v>-0.97870000000000001</v>
      </c>
      <c r="Q132" s="135">
        <v>2024</v>
      </c>
      <c r="R132" s="134" t="s">
        <v>86</v>
      </c>
      <c r="S132" s="136" t="s">
        <v>615</v>
      </c>
      <c r="T132" s="134"/>
      <c r="U132" s="134"/>
      <c r="V132" s="134"/>
      <c r="W132" s="137"/>
      <c r="X132" s="138">
        <f>0.8*$I132</f>
        <v>0</v>
      </c>
      <c r="Y132" s="138">
        <f>2*J132</f>
        <v>0</v>
      </c>
      <c r="Z132" s="137" t="s">
        <v>44</v>
      </c>
      <c r="AA132" s="139">
        <f>0.8*K132</f>
        <v>59798458.254053205</v>
      </c>
      <c r="AB132" s="139">
        <f>2*K132</f>
        <v>149496145.635133</v>
      </c>
      <c r="AC132" s="137" t="s">
        <v>44</v>
      </c>
      <c r="AD132" s="139">
        <v>0.1</v>
      </c>
      <c r="AE132" s="139">
        <v>0</v>
      </c>
      <c r="AF132" s="139">
        <v>-1</v>
      </c>
      <c r="AG132" s="137" t="s">
        <v>48</v>
      </c>
    </row>
    <row r="133" spans="1:33" x14ac:dyDescent="0.2">
      <c r="A133" s="93">
        <v>23</v>
      </c>
      <c r="B133" s="95">
        <f t="shared" si="8"/>
        <v>1</v>
      </c>
      <c r="C133" s="117" t="s">
        <v>616</v>
      </c>
      <c r="D133" s="96" t="str">
        <f t="shared" si="7"/>
        <v xml:space="preserve">      Servicing Facility Equipment</v>
      </c>
      <c r="E133" s="96"/>
      <c r="F133" s="96"/>
      <c r="G133" s="97"/>
      <c r="H133" s="96"/>
      <c r="I133" s="103"/>
      <c r="J133" s="102"/>
      <c r="K133" s="102"/>
      <c r="L133" s="108"/>
      <c r="M133" s="118"/>
      <c r="N133" s="108"/>
      <c r="O133" s="108"/>
      <c r="P133" s="105"/>
      <c r="Q133" s="105"/>
      <c r="R133" s="108"/>
      <c r="S133" s="118"/>
      <c r="T133" s="108"/>
      <c r="U133" s="108"/>
      <c r="V133" s="108"/>
      <c r="W133" s="99"/>
      <c r="X133" s="109"/>
      <c r="Y133" s="109"/>
      <c r="Z133" s="99"/>
      <c r="AA133" s="100"/>
      <c r="AB133" s="100"/>
      <c r="AC133" s="99"/>
      <c r="AD133" s="100"/>
      <c r="AE133" s="100"/>
      <c r="AF133" s="100"/>
      <c r="AG133" s="99"/>
    </row>
    <row r="134" spans="1:33" x14ac:dyDescent="0.2">
      <c r="A134" s="93">
        <v>231</v>
      </c>
      <c r="B134" s="95">
        <f t="shared" si="8"/>
        <v>2</v>
      </c>
      <c r="C134" s="117" t="s">
        <v>617</v>
      </c>
      <c r="D134" s="96" t="str">
        <f t="shared" si="7"/>
        <v xml:space="preserve">            Used Reactor Servicing Equipment</v>
      </c>
      <c r="E134" s="96"/>
      <c r="F134" s="96"/>
      <c r="G134" s="97"/>
      <c r="H134" s="96"/>
      <c r="I134" s="103"/>
      <c r="J134" s="102"/>
      <c r="K134" s="102"/>
      <c r="L134" s="108"/>
      <c r="M134" s="118"/>
      <c r="N134" s="108"/>
      <c r="O134" s="108"/>
      <c r="P134" s="105"/>
      <c r="Q134" s="105"/>
      <c r="R134" s="108"/>
      <c r="S134" s="118"/>
      <c r="T134" s="108"/>
      <c r="U134" s="108"/>
      <c r="V134" s="108"/>
      <c r="W134" s="99"/>
      <c r="X134" s="109"/>
      <c r="Y134" s="109"/>
      <c r="Z134" s="99"/>
      <c r="AA134" s="100"/>
      <c r="AB134" s="100"/>
      <c r="AC134" s="99"/>
      <c r="AD134" s="100"/>
      <c r="AE134" s="100"/>
      <c r="AF134" s="100"/>
      <c r="AG134" s="99"/>
    </row>
    <row r="135" spans="1:33" ht="25.5" customHeight="1" x14ac:dyDescent="0.2">
      <c r="A135" s="93">
        <v>231.1</v>
      </c>
      <c r="B135" s="95">
        <f t="shared" si="8"/>
        <v>3</v>
      </c>
      <c r="C135" s="117" t="s">
        <v>618</v>
      </c>
      <c r="D135" s="96" t="str">
        <f t="shared" si="7"/>
        <v xml:space="preserve">                  Fuel/Internal Handling Robot</v>
      </c>
      <c r="E135" s="96" t="s">
        <v>35</v>
      </c>
      <c r="F135" s="96" t="s">
        <v>619</v>
      </c>
      <c r="G135" s="97">
        <v>12</v>
      </c>
      <c r="H135" s="96"/>
      <c r="I135" s="103"/>
      <c r="J135" s="102">
        <v>232000</v>
      </c>
      <c r="K135" s="102"/>
      <c r="L135" s="108"/>
      <c r="M135" s="118"/>
      <c r="N135" s="108"/>
      <c r="O135" s="108"/>
      <c r="P135" s="105"/>
      <c r="Q135" s="105">
        <v>2023</v>
      </c>
      <c r="R135" s="108" t="s">
        <v>86</v>
      </c>
      <c r="S135" s="118" t="s">
        <v>620</v>
      </c>
      <c r="T135" s="108"/>
      <c r="U135" s="108"/>
      <c r="V135" s="108" t="s">
        <v>621</v>
      </c>
      <c r="W135" s="99" t="s">
        <v>43</v>
      </c>
      <c r="X135" s="109">
        <v>116000</v>
      </c>
      <c r="Y135" s="109">
        <v>348000</v>
      </c>
      <c r="Z135" s="99" t="s">
        <v>44</v>
      </c>
      <c r="AA135" s="100">
        <f>0.9*K135</f>
        <v>0</v>
      </c>
      <c r="AB135" s="100">
        <f>1.3*K135</f>
        <v>0</v>
      </c>
      <c r="AC135" s="99" t="s">
        <v>44</v>
      </c>
      <c r="AD135" s="100" t="s">
        <v>45</v>
      </c>
      <c r="AE135" s="100" t="s">
        <v>46</v>
      </c>
      <c r="AF135" s="100" t="s">
        <v>47</v>
      </c>
      <c r="AG135" s="99" t="s">
        <v>48</v>
      </c>
    </row>
    <row r="136" spans="1:33" ht="25.5" customHeight="1" x14ac:dyDescent="0.2">
      <c r="A136" s="93">
        <v>231.1</v>
      </c>
      <c r="B136" s="95">
        <f t="shared" si="8"/>
        <v>3</v>
      </c>
      <c r="C136" s="117" t="s">
        <v>622</v>
      </c>
      <c r="D136" s="96" t="str">
        <f t="shared" si="7"/>
        <v xml:space="preserve">                  Fuel Crane</v>
      </c>
      <c r="E136" s="96" t="s">
        <v>35</v>
      </c>
      <c r="F136" s="96" t="s">
        <v>619</v>
      </c>
      <c r="G136" s="97">
        <v>2</v>
      </c>
      <c r="H136" s="96"/>
      <c r="I136" s="103"/>
      <c r="J136" s="102">
        <v>1971000</v>
      </c>
      <c r="K136" s="102"/>
      <c r="L136" s="108"/>
      <c r="M136" s="118"/>
      <c r="N136" s="108"/>
      <c r="O136" s="108"/>
      <c r="P136" s="105"/>
      <c r="Q136" s="105">
        <v>2023</v>
      </c>
      <c r="R136" s="108" t="s">
        <v>86</v>
      </c>
      <c r="S136" s="118" t="s">
        <v>620</v>
      </c>
      <c r="T136" s="108"/>
      <c r="U136" s="108"/>
      <c r="V136" s="108" t="s">
        <v>623</v>
      </c>
      <c r="W136" s="99" t="s">
        <v>43</v>
      </c>
      <c r="X136" s="109">
        <v>1752000</v>
      </c>
      <c r="Y136" s="109">
        <v>2190000</v>
      </c>
      <c r="Z136" s="99" t="s">
        <v>44</v>
      </c>
      <c r="AA136" s="100">
        <f>0.9*K136</f>
        <v>0</v>
      </c>
      <c r="AB136" s="100">
        <f>1.3*K136</f>
        <v>0</v>
      </c>
      <c r="AC136" s="99" t="s">
        <v>44</v>
      </c>
      <c r="AD136" s="100" t="s">
        <v>45</v>
      </c>
      <c r="AE136" s="100" t="s">
        <v>46</v>
      </c>
      <c r="AF136" s="100" t="s">
        <v>47</v>
      </c>
      <c r="AG136" s="99" t="s">
        <v>48</v>
      </c>
    </row>
    <row r="137" spans="1:33" ht="25.5" customHeight="1" x14ac:dyDescent="0.2">
      <c r="A137" s="93">
        <v>231.1</v>
      </c>
      <c r="B137" s="95">
        <f t="shared" si="8"/>
        <v>3</v>
      </c>
      <c r="C137" s="117" t="s">
        <v>624</v>
      </c>
      <c r="D137" s="96" t="str">
        <f t="shared" si="7"/>
        <v xml:space="preserve">                  Reactor Crane</v>
      </c>
      <c r="E137" s="96" t="s">
        <v>35</v>
      </c>
      <c r="F137" s="96" t="s">
        <v>619</v>
      </c>
      <c r="G137" s="97">
        <v>1</v>
      </c>
      <c r="H137" s="96"/>
      <c r="I137" s="103"/>
      <c r="J137" s="102">
        <v>2738000</v>
      </c>
      <c r="K137" s="102"/>
      <c r="L137" s="108"/>
      <c r="M137" s="118"/>
      <c r="N137" s="108"/>
      <c r="O137" s="108"/>
      <c r="P137" s="105"/>
      <c r="Q137" s="105">
        <v>2023</v>
      </c>
      <c r="R137" s="108" t="s">
        <v>86</v>
      </c>
      <c r="S137" s="118" t="s">
        <v>620</v>
      </c>
      <c r="T137" s="108"/>
      <c r="U137" s="108"/>
      <c r="V137" s="108" t="s">
        <v>623</v>
      </c>
      <c r="W137" s="99" t="s">
        <v>43</v>
      </c>
      <c r="X137" s="109">
        <v>2190000</v>
      </c>
      <c r="Y137" s="109">
        <v>3285000</v>
      </c>
      <c r="Z137" s="99" t="s">
        <v>44</v>
      </c>
      <c r="AA137" s="100">
        <f>0.9*K137</f>
        <v>0</v>
      </c>
      <c r="AB137" s="100">
        <f>1.3*K137</f>
        <v>0</v>
      </c>
      <c r="AC137" s="99" t="s">
        <v>44</v>
      </c>
      <c r="AD137" s="100" t="s">
        <v>45</v>
      </c>
      <c r="AE137" s="100" t="s">
        <v>46</v>
      </c>
      <c r="AF137" s="100" t="s">
        <v>47</v>
      </c>
      <c r="AG137" s="99" t="s">
        <v>48</v>
      </c>
    </row>
    <row r="138" spans="1:33" ht="25.5" customHeight="1" x14ac:dyDescent="0.2">
      <c r="A138" s="93">
        <v>231.1</v>
      </c>
      <c r="B138" s="95">
        <f t="shared" si="8"/>
        <v>3</v>
      </c>
      <c r="C138" s="117" t="s">
        <v>625</v>
      </c>
      <c r="D138" s="96" t="str">
        <f t="shared" si="7"/>
        <v xml:space="preserve">                  Operating Platform</v>
      </c>
      <c r="E138" s="96" t="s">
        <v>35</v>
      </c>
      <c r="F138" s="96" t="s">
        <v>619</v>
      </c>
      <c r="G138" s="97">
        <v>2</v>
      </c>
      <c r="H138" s="96"/>
      <c r="I138" s="103"/>
      <c r="J138" s="102"/>
      <c r="K138" s="102"/>
      <c r="L138" s="108"/>
      <c r="M138" s="118"/>
      <c r="N138" s="108"/>
      <c r="O138" s="108"/>
      <c r="P138" s="105"/>
      <c r="Q138" s="105"/>
      <c r="R138" s="108"/>
      <c r="S138" s="118"/>
      <c r="T138" s="108"/>
      <c r="U138" s="108"/>
      <c r="V138" s="118"/>
      <c r="W138" s="99" t="s">
        <v>43</v>
      </c>
      <c r="X138" s="109">
        <f>0.8*$I138</f>
        <v>0</v>
      </c>
      <c r="Y138" s="109">
        <f>2*J138</f>
        <v>0</v>
      </c>
      <c r="Z138" s="99" t="s">
        <v>44</v>
      </c>
      <c r="AA138" s="100">
        <f>0.8*K138</f>
        <v>0</v>
      </c>
      <c r="AB138" s="100">
        <f>2*K138</f>
        <v>0</v>
      </c>
      <c r="AC138" s="99" t="s">
        <v>44</v>
      </c>
      <c r="AD138" s="100" t="s">
        <v>45</v>
      </c>
      <c r="AE138" s="100" t="s">
        <v>46</v>
      </c>
      <c r="AF138" s="100" t="s">
        <v>47</v>
      </c>
      <c r="AG138" s="99" t="s">
        <v>48</v>
      </c>
    </row>
    <row r="139" spans="1:33" ht="51.75" customHeight="1" x14ac:dyDescent="0.2">
      <c r="A139" s="93">
        <v>231.1</v>
      </c>
      <c r="B139" s="95">
        <f t="shared" si="8"/>
        <v>3</v>
      </c>
      <c r="C139" s="117" t="s">
        <v>626</v>
      </c>
      <c r="D139" s="96" t="str">
        <f t="shared" si="7"/>
        <v xml:space="preserve">                  Vessel Inspection System</v>
      </c>
      <c r="E139" s="96" t="s">
        <v>35</v>
      </c>
      <c r="F139" s="96" t="s">
        <v>619</v>
      </c>
      <c r="G139" s="97">
        <v>1</v>
      </c>
      <c r="H139" s="96"/>
      <c r="I139" s="103"/>
      <c r="J139" s="102">
        <v>3000000</v>
      </c>
      <c r="K139" s="102"/>
      <c r="L139" s="108"/>
      <c r="M139" s="118"/>
      <c r="N139" s="108"/>
      <c r="O139" s="108"/>
      <c r="P139" s="105"/>
      <c r="Q139" s="105">
        <v>1999</v>
      </c>
      <c r="R139" s="108" t="s">
        <v>86</v>
      </c>
      <c r="S139" s="118" t="s">
        <v>627</v>
      </c>
      <c r="T139" s="118" t="s">
        <v>628</v>
      </c>
      <c r="U139" s="119" t="s">
        <v>629</v>
      </c>
      <c r="V139" s="108" t="s">
        <v>630</v>
      </c>
      <c r="W139" s="99" t="s">
        <v>43</v>
      </c>
      <c r="X139" s="109">
        <v>1000000</v>
      </c>
      <c r="Y139" s="109">
        <v>7000000</v>
      </c>
      <c r="Z139" s="99" t="s">
        <v>44</v>
      </c>
      <c r="AA139" s="100">
        <f>0.9*K139</f>
        <v>0</v>
      </c>
      <c r="AB139" s="100">
        <f>1.3*K139</f>
        <v>0</v>
      </c>
      <c r="AC139" s="99" t="s">
        <v>44</v>
      </c>
      <c r="AD139" s="100" t="s">
        <v>45</v>
      </c>
      <c r="AE139" s="100" t="s">
        <v>46</v>
      </c>
      <c r="AF139" s="100" t="s">
        <v>47</v>
      </c>
      <c r="AG139" s="99" t="s">
        <v>48</v>
      </c>
    </row>
    <row r="140" spans="1:33" ht="25.5" customHeight="1" x14ac:dyDescent="0.2">
      <c r="A140" s="93">
        <v>231.1</v>
      </c>
      <c r="B140" s="95">
        <f t="shared" si="8"/>
        <v>3</v>
      </c>
      <c r="C140" s="117" t="s">
        <v>631</v>
      </c>
      <c r="D140" s="96" t="str">
        <f t="shared" si="7"/>
        <v xml:space="preserve">                  Decontamination System</v>
      </c>
      <c r="E140" s="96" t="s">
        <v>35</v>
      </c>
      <c r="F140" s="96" t="s">
        <v>619</v>
      </c>
      <c r="G140" s="97">
        <v>1</v>
      </c>
      <c r="H140" s="96"/>
      <c r="I140" s="103"/>
      <c r="J140" s="102"/>
      <c r="K140" s="102"/>
      <c r="L140" s="108"/>
      <c r="M140" s="118"/>
      <c r="N140" s="108"/>
      <c r="O140" s="108"/>
      <c r="P140" s="105"/>
      <c r="Q140" s="105"/>
      <c r="R140" s="108"/>
      <c r="S140" s="118"/>
      <c r="T140" s="108"/>
      <c r="U140" s="108"/>
      <c r="V140" s="108"/>
      <c r="W140" s="99" t="s">
        <v>43</v>
      </c>
      <c r="X140" s="109">
        <f>0.8*$I140</f>
        <v>0</v>
      </c>
      <c r="Y140" s="109">
        <f>2*J140</f>
        <v>0</v>
      </c>
      <c r="Z140" s="99" t="s">
        <v>44</v>
      </c>
      <c r="AA140" s="100">
        <f>0.8*K140</f>
        <v>0</v>
      </c>
      <c r="AB140" s="100">
        <f>2*K140</f>
        <v>0</v>
      </c>
      <c r="AC140" s="99" t="s">
        <v>44</v>
      </c>
      <c r="AD140" s="100" t="s">
        <v>45</v>
      </c>
      <c r="AE140" s="100" t="s">
        <v>46</v>
      </c>
      <c r="AF140" s="100" t="s">
        <v>47</v>
      </c>
      <c r="AG140" s="99" t="s">
        <v>48</v>
      </c>
    </row>
    <row r="141" spans="1:33" ht="25.5" customHeight="1" x14ac:dyDescent="0.2">
      <c r="A141" s="93">
        <v>231.1</v>
      </c>
      <c r="B141" s="95">
        <f t="shared" si="8"/>
        <v>3</v>
      </c>
      <c r="C141" s="117" t="s">
        <v>632</v>
      </c>
      <c r="D141" s="96" t="str">
        <f t="shared" si="7"/>
        <v xml:space="preserve">                  Servicing Hot Cell Shielding</v>
      </c>
      <c r="E141" s="96" t="s">
        <v>35</v>
      </c>
      <c r="F141" s="96" t="s">
        <v>619</v>
      </c>
      <c r="G141" s="97">
        <v>1</v>
      </c>
      <c r="H141" s="96"/>
      <c r="I141" s="103"/>
      <c r="J141" s="102"/>
      <c r="K141" s="102"/>
      <c r="L141" s="108"/>
      <c r="M141" s="118"/>
      <c r="N141" s="108"/>
      <c r="O141" s="108"/>
      <c r="P141" s="105"/>
      <c r="Q141" s="105"/>
      <c r="R141" s="108"/>
      <c r="S141" s="118"/>
      <c r="T141" s="108"/>
      <c r="U141" s="108"/>
      <c r="V141" s="108"/>
      <c r="W141" s="99" t="s">
        <v>43</v>
      </c>
      <c r="X141" s="109">
        <f>0.8*$I141</f>
        <v>0</v>
      </c>
      <c r="Y141" s="109">
        <f>2*J141</f>
        <v>0</v>
      </c>
      <c r="Z141" s="99" t="s">
        <v>44</v>
      </c>
      <c r="AA141" s="100">
        <f>0.8*K141</f>
        <v>0</v>
      </c>
      <c r="AB141" s="100">
        <f>2*K141</f>
        <v>0</v>
      </c>
      <c r="AC141" s="99" t="s">
        <v>44</v>
      </c>
      <c r="AD141" s="100" t="s">
        <v>45</v>
      </c>
      <c r="AE141" s="100" t="s">
        <v>46</v>
      </c>
      <c r="AF141" s="100" t="s">
        <v>47</v>
      </c>
      <c r="AG141" s="99" t="s">
        <v>48</v>
      </c>
    </row>
    <row r="142" spans="1:33" x14ac:dyDescent="0.2">
      <c r="A142" s="93">
        <v>232</v>
      </c>
      <c r="B142" s="95">
        <f t="shared" si="8"/>
        <v>2</v>
      </c>
      <c r="C142" s="117" t="s">
        <v>633</v>
      </c>
      <c r="D142" s="96" t="str">
        <f t="shared" si="7"/>
        <v xml:space="preserve">            Used Reactor Testing Equipment</v>
      </c>
      <c r="E142" s="96"/>
      <c r="F142" s="96"/>
      <c r="G142" s="97"/>
      <c r="H142" s="96"/>
      <c r="I142" s="103"/>
      <c r="J142" s="102"/>
      <c r="K142" s="102"/>
      <c r="L142" s="108"/>
      <c r="M142" s="118"/>
      <c r="N142" s="108"/>
      <c r="O142" s="108"/>
      <c r="P142" s="105"/>
      <c r="Q142" s="105"/>
      <c r="R142" s="108"/>
      <c r="S142" s="118"/>
      <c r="T142" s="108"/>
      <c r="U142" s="108"/>
      <c r="V142" s="108"/>
      <c r="W142" s="99"/>
      <c r="X142" s="109"/>
      <c r="Y142" s="109"/>
      <c r="Z142" s="99"/>
      <c r="AA142" s="100"/>
      <c r="AB142" s="100"/>
      <c r="AC142" s="99"/>
      <c r="AD142" s="100"/>
      <c r="AE142" s="100"/>
      <c r="AF142" s="100"/>
      <c r="AG142" s="99"/>
    </row>
    <row r="143" spans="1:33" ht="25.5" customHeight="1" x14ac:dyDescent="0.2">
      <c r="A143" s="93">
        <v>232.1</v>
      </c>
      <c r="B143" s="95">
        <f t="shared" si="8"/>
        <v>3</v>
      </c>
      <c r="C143" s="117" t="s">
        <v>634</v>
      </c>
      <c r="D143" s="96" t="str">
        <f t="shared" si="7"/>
        <v xml:space="preserve">                  Handling Robot</v>
      </c>
      <c r="E143" s="96" t="s">
        <v>35</v>
      </c>
      <c r="F143" s="96" t="s">
        <v>585</v>
      </c>
      <c r="G143" s="97">
        <v>6</v>
      </c>
      <c r="H143" s="96"/>
      <c r="I143" s="103"/>
      <c r="J143" s="102">
        <v>232000</v>
      </c>
      <c r="K143" s="102"/>
      <c r="L143" s="108"/>
      <c r="M143" s="118"/>
      <c r="N143" s="108"/>
      <c r="O143" s="108"/>
      <c r="P143" s="105"/>
      <c r="Q143" s="105">
        <v>2023</v>
      </c>
      <c r="R143" s="108" t="s">
        <v>86</v>
      </c>
      <c r="S143" s="118" t="s">
        <v>620</v>
      </c>
      <c r="T143" s="108"/>
      <c r="U143" s="108"/>
      <c r="V143" s="108" t="s">
        <v>621</v>
      </c>
      <c r="W143" s="99" t="s">
        <v>43</v>
      </c>
      <c r="X143" s="109">
        <v>116000</v>
      </c>
      <c r="Y143" s="109">
        <v>348000</v>
      </c>
      <c r="Z143" s="99" t="s">
        <v>44</v>
      </c>
      <c r="AA143" s="100">
        <f>0.8*K143</f>
        <v>0</v>
      </c>
      <c r="AB143" s="100">
        <f>2*K143</f>
        <v>0</v>
      </c>
      <c r="AC143" s="99" t="s">
        <v>44</v>
      </c>
      <c r="AD143" s="100" t="s">
        <v>45</v>
      </c>
      <c r="AE143" s="100" t="s">
        <v>46</v>
      </c>
      <c r="AF143" s="100" t="s">
        <v>47</v>
      </c>
      <c r="AG143" s="99" t="s">
        <v>48</v>
      </c>
    </row>
    <row r="144" spans="1:33" ht="25.5" customHeight="1" x14ac:dyDescent="0.2">
      <c r="A144" s="93">
        <v>232.1</v>
      </c>
      <c r="B144" s="95">
        <f t="shared" si="8"/>
        <v>3</v>
      </c>
      <c r="C144" s="117" t="s">
        <v>625</v>
      </c>
      <c r="D144" s="96" t="str">
        <f t="shared" si="7"/>
        <v xml:space="preserve">                  Operating Platform</v>
      </c>
      <c r="E144" s="96" t="s">
        <v>35</v>
      </c>
      <c r="F144" s="96" t="s">
        <v>585</v>
      </c>
      <c r="G144" s="97">
        <v>1</v>
      </c>
      <c r="H144" s="96"/>
      <c r="I144" s="103"/>
      <c r="J144" s="102"/>
      <c r="K144" s="102"/>
      <c r="L144" s="108"/>
      <c r="M144" s="118"/>
      <c r="N144" s="108"/>
      <c r="O144" s="108"/>
      <c r="P144" s="105"/>
      <c r="Q144" s="105"/>
      <c r="R144" s="108"/>
      <c r="S144" s="118"/>
      <c r="T144" s="108"/>
      <c r="U144" s="108"/>
      <c r="V144" s="118"/>
      <c r="W144" s="99" t="s">
        <v>43</v>
      </c>
      <c r="X144" s="109">
        <f>0.8*$I144</f>
        <v>0</v>
      </c>
      <c r="Y144" s="109">
        <f>2*J144</f>
        <v>0</v>
      </c>
      <c r="Z144" s="99" t="s">
        <v>44</v>
      </c>
      <c r="AA144" s="100">
        <f>0.8*K144</f>
        <v>0</v>
      </c>
      <c r="AB144" s="100">
        <f>2*K144</f>
        <v>0</v>
      </c>
      <c r="AC144" s="99" t="s">
        <v>44</v>
      </c>
      <c r="AD144" s="100" t="s">
        <v>45</v>
      </c>
      <c r="AE144" s="100" t="s">
        <v>46</v>
      </c>
      <c r="AF144" s="100" t="s">
        <v>47</v>
      </c>
      <c r="AG144" s="99" t="s">
        <v>48</v>
      </c>
    </row>
    <row r="145" spans="1:33" ht="25.5" customHeight="1" x14ac:dyDescent="0.2">
      <c r="A145" s="93">
        <v>232.1</v>
      </c>
      <c r="B145" s="95">
        <f t="shared" si="8"/>
        <v>3</v>
      </c>
      <c r="C145" s="117" t="s">
        <v>635</v>
      </c>
      <c r="D145" s="96" t="str">
        <f t="shared" si="7"/>
        <v xml:space="preserve">                  Primary Heat Transport System</v>
      </c>
      <c r="E145" s="96" t="s">
        <v>35</v>
      </c>
      <c r="F145" s="96" t="s">
        <v>585</v>
      </c>
      <c r="G145" s="97">
        <v>1</v>
      </c>
      <c r="H145" s="96"/>
      <c r="I145" s="103"/>
      <c r="J145" s="102"/>
      <c r="K145" s="102"/>
      <c r="L145" s="108"/>
      <c r="M145" s="118"/>
      <c r="N145" s="108"/>
      <c r="O145" s="108"/>
      <c r="P145" s="105"/>
      <c r="Q145" s="105"/>
      <c r="R145" s="108"/>
      <c r="S145" s="118"/>
      <c r="T145" s="108"/>
      <c r="U145" s="108"/>
      <c r="V145" s="108" t="s">
        <v>636</v>
      </c>
      <c r="W145" s="99" t="s">
        <v>43</v>
      </c>
      <c r="X145" s="109">
        <f>0.8*$I145</f>
        <v>0</v>
      </c>
      <c r="Y145" s="109">
        <f>2*J145</f>
        <v>0</v>
      </c>
      <c r="Z145" s="99" t="s">
        <v>44</v>
      </c>
      <c r="AA145" s="100">
        <f>0.8*K145</f>
        <v>0</v>
      </c>
      <c r="AB145" s="100">
        <f>2*K145</f>
        <v>0</v>
      </c>
      <c r="AC145" s="99" t="s">
        <v>44</v>
      </c>
      <c r="AD145" s="100" t="s">
        <v>45</v>
      </c>
      <c r="AE145" s="100" t="s">
        <v>46</v>
      </c>
      <c r="AF145" s="100" t="s">
        <v>47</v>
      </c>
      <c r="AG145" s="99" t="s">
        <v>48</v>
      </c>
    </row>
    <row r="146" spans="1:33" ht="25.5" customHeight="1" x14ac:dyDescent="0.2">
      <c r="A146" s="93">
        <v>232.1</v>
      </c>
      <c r="B146" s="95">
        <f t="shared" si="8"/>
        <v>3</v>
      </c>
      <c r="C146" s="117" t="s">
        <v>631</v>
      </c>
      <c r="D146" s="96" t="str">
        <f t="shared" si="7"/>
        <v xml:space="preserve">                  Decontamination System</v>
      </c>
      <c r="E146" s="96" t="s">
        <v>35</v>
      </c>
      <c r="F146" s="96" t="s">
        <v>585</v>
      </c>
      <c r="G146" s="97">
        <v>1</v>
      </c>
      <c r="H146" s="96"/>
      <c r="I146" s="103"/>
      <c r="J146" s="102"/>
      <c r="K146" s="102"/>
      <c r="L146" s="108"/>
      <c r="M146" s="118"/>
      <c r="N146" s="108"/>
      <c r="O146" s="108"/>
      <c r="P146" s="105"/>
      <c r="Q146" s="105"/>
      <c r="R146" s="108"/>
      <c r="S146" s="118"/>
      <c r="T146" s="108"/>
      <c r="U146" s="108"/>
      <c r="V146" s="108"/>
      <c r="W146" s="99" t="s">
        <v>43</v>
      </c>
      <c r="X146" s="109">
        <f>0.8*$I146</f>
        <v>0</v>
      </c>
      <c r="Y146" s="109">
        <f>2*J146</f>
        <v>0</v>
      </c>
      <c r="Z146" s="99" t="s">
        <v>44</v>
      </c>
      <c r="AA146" s="100">
        <f>0.8*K146</f>
        <v>0</v>
      </c>
      <c r="AB146" s="100">
        <f>2*K146</f>
        <v>0</v>
      </c>
      <c r="AC146" s="99" t="s">
        <v>44</v>
      </c>
      <c r="AD146" s="100" t="s">
        <v>45</v>
      </c>
      <c r="AE146" s="100" t="s">
        <v>46</v>
      </c>
      <c r="AF146" s="100" t="s">
        <v>47</v>
      </c>
      <c r="AG146" s="99" t="s">
        <v>48</v>
      </c>
    </row>
    <row r="147" spans="1:33" ht="25.5" customHeight="1" x14ac:dyDescent="0.2">
      <c r="A147" s="93">
        <v>232.1</v>
      </c>
      <c r="B147" s="95">
        <f t="shared" si="8"/>
        <v>3</v>
      </c>
      <c r="C147" s="117" t="s">
        <v>637</v>
      </c>
      <c r="D147" s="96" t="str">
        <f t="shared" si="7"/>
        <v xml:space="preserve">                  Testing Hot Cell Shielding</v>
      </c>
      <c r="E147" s="96" t="s">
        <v>35</v>
      </c>
      <c r="F147" s="96" t="s">
        <v>585</v>
      </c>
      <c r="G147" s="97">
        <v>1</v>
      </c>
      <c r="H147" s="96"/>
      <c r="I147" s="103"/>
      <c r="J147" s="102"/>
      <c r="K147" s="102"/>
      <c r="L147" s="108"/>
      <c r="M147" s="118"/>
      <c r="N147" s="108"/>
      <c r="O147" s="108"/>
      <c r="P147" s="105"/>
      <c r="Q147" s="105"/>
      <c r="R147" s="108"/>
      <c r="S147" s="118"/>
      <c r="T147" s="108"/>
      <c r="U147" s="108"/>
      <c r="V147" s="108"/>
      <c r="W147" s="99" t="s">
        <v>43</v>
      </c>
      <c r="X147" s="109">
        <f>0.9*$J147</f>
        <v>0</v>
      </c>
      <c r="Y147" s="109">
        <f>1.5*J147</f>
        <v>0</v>
      </c>
      <c r="Z147" s="99" t="s">
        <v>44</v>
      </c>
      <c r="AA147" s="100">
        <f>0.9*K147</f>
        <v>0</v>
      </c>
      <c r="AB147" s="100">
        <f>1.3*K147</f>
        <v>0</v>
      </c>
      <c r="AC147" s="99" t="s">
        <v>44</v>
      </c>
      <c r="AD147" s="100" t="s">
        <v>45</v>
      </c>
      <c r="AE147" s="100" t="s">
        <v>46</v>
      </c>
      <c r="AF147" s="100" t="s">
        <v>47</v>
      </c>
      <c r="AG147" s="99" t="s">
        <v>48</v>
      </c>
    </row>
    <row r="148" spans="1:33" x14ac:dyDescent="0.2">
      <c r="A148" s="93">
        <v>234</v>
      </c>
      <c r="B148" s="95">
        <f t="shared" si="8"/>
        <v>2</v>
      </c>
      <c r="C148" s="117" t="s">
        <v>638</v>
      </c>
      <c r="D148" s="96" t="str">
        <f t="shared" si="7"/>
        <v xml:space="preserve">            Auxiliary System</v>
      </c>
      <c r="E148" s="96"/>
      <c r="F148" s="96"/>
      <c r="G148" s="97"/>
      <c r="H148" s="96"/>
      <c r="I148" s="103"/>
      <c r="J148" s="102"/>
      <c r="K148" s="102"/>
      <c r="L148" s="108"/>
      <c r="M148" s="118"/>
      <c r="N148" s="108"/>
      <c r="O148" s="108"/>
      <c r="P148" s="105"/>
      <c r="Q148" s="105"/>
      <c r="R148" s="108"/>
      <c r="S148" s="118"/>
      <c r="T148" s="108"/>
      <c r="U148" s="108"/>
      <c r="V148" s="108"/>
      <c r="W148" s="99"/>
      <c r="X148" s="109"/>
      <c r="Y148" s="109"/>
      <c r="Z148" s="99"/>
      <c r="AA148" s="100"/>
      <c r="AB148" s="100"/>
      <c r="AC148" s="99"/>
      <c r="AD148" s="100"/>
      <c r="AE148" s="100"/>
      <c r="AF148" s="100"/>
      <c r="AG148" s="99"/>
    </row>
    <row r="149" spans="1:33" x14ac:dyDescent="0.2">
      <c r="A149" s="93">
        <v>234.1</v>
      </c>
      <c r="B149" s="95">
        <f t="shared" si="8"/>
        <v>3</v>
      </c>
      <c r="C149" s="117" t="s">
        <v>639</v>
      </c>
      <c r="D149" s="96" t="str">
        <f t="shared" si="7"/>
        <v xml:space="preserve">                  Fire Protection Equipment</v>
      </c>
      <c r="E149" s="96" t="s">
        <v>35</v>
      </c>
      <c r="F149" s="96" t="s">
        <v>565</v>
      </c>
      <c r="G149" s="97">
        <v>1</v>
      </c>
      <c r="H149" s="96"/>
      <c r="I149" s="103"/>
      <c r="J149" s="102"/>
      <c r="K149" s="102"/>
      <c r="L149" s="108"/>
      <c r="M149" s="118"/>
      <c r="N149" s="108"/>
      <c r="O149" s="108"/>
      <c r="P149" s="105"/>
      <c r="Q149" s="105"/>
      <c r="R149" s="108"/>
      <c r="S149" s="118"/>
      <c r="T149" s="108"/>
      <c r="U149" s="108"/>
      <c r="V149" s="108"/>
      <c r="W149" s="99" t="s">
        <v>43</v>
      </c>
      <c r="X149" s="109">
        <f>0.9*$J149</f>
        <v>0</v>
      </c>
      <c r="Y149" s="109">
        <f>1.5*J149</f>
        <v>0</v>
      </c>
      <c r="Z149" s="99" t="s">
        <v>44</v>
      </c>
      <c r="AA149" s="100">
        <f>0.9*K149</f>
        <v>0</v>
      </c>
      <c r="AB149" s="100">
        <f>1.3*K149</f>
        <v>0</v>
      </c>
      <c r="AC149" s="99" t="s">
        <v>44</v>
      </c>
      <c r="AD149" s="100" t="s">
        <v>45</v>
      </c>
      <c r="AE149" s="100" t="s">
        <v>46</v>
      </c>
      <c r="AF149" s="100" t="s">
        <v>47</v>
      </c>
      <c r="AG149" s="99" t="s">
        <v>48</v>
      </c>
    </row>
    <row r="150" spans="1:33" ht="38.25" customHeight="1" x14ac:dyDescent="0.2">
      <c r="A150" s="93">
        <v>234.2</v>
      </c>
      <c r="B150" s="95">
        <f t="shared" si="8"/>
        <v>3</v>
      </c>
      <c r="C150" s="117" t="s">
        <v>640</v>
      </c>
      <c r="D150" s="96" t="str">
        <f t="shared" si="7"/>
        <v xml:space="preserve">                  Service Water/Air/Steam System</v>
      </c>
      <c r="E150" s="96" t="s">
        <v>35</v>
      </c>
      <c r="F150" s="96" t="s">
        <v>565</v>
      </c>
      <c r="G150" s="97">
        <v>1</v>
      </c>
      <c r="H150" s="96"/>
      <c r="I150" s="103"/>
      <c r="J150" s="102"/>
      <c r="K150" s="102">
        <f>111284601/N150</f>
        <v>32567.925373134327</v>
      </c>
      <c r="L150" s="108"/>
      <c r="M150" s="118" t="s">
        <v>641</v>
      </c>
      <c r="N150" s="108">
        <v>3417</v>
      </c>
      <c r="O150" s="108" t="s">
        <v>100</v>
      </c>
      <c r="P150" s="105">
        <v>0.8</v>
      </c>
      <c r="Q150" s="105">
        <v>2018</v>
      </c>
      <c r="R150" s="108" t="s">
        <v>86</v>
      </c>
      <c r="S150" s="118" t="s">
        <v>189</v>
      </c>
      <c r="T150" s="108"/>
      <c r="U150" s="108"/>
      <c r="V150" s="108" t="s">
        <v>642</v>
      </c>
      <c r="W150" s="99" t="s">
        <v>43</v>
      </c>
      <c r="X150" s="109">
        <f>0.9*$J150</f>
        <v>0</v>
      </c>
      <c r="Y150" s="109">
        <f>1.5*J150</f>
        <v>0</v>
      </c>
      <c r="Z150" s="99" t="s">
        <v>44</v>
      </c>
      <c r="AA150" s="100">
        <f>0.9*K150</f>
        <v>29311.132835820896</v>
      </c>
      <c r="AB150" s="100">
        <f>1.3*K150</f>
        <v>42338.302985074624</v>
      </c>
      <c r="AC150" s="99" t="s">
        <v>44</v>
      </c>
      <c r="AD150" s="100" t="s">
        <v>45</v>
      </c>
      <c r="AE150" s="100" t="s">
        <v>46</v>
      </c>
      <c r="AF150" s="100" t="s">
        <v>47</v>
      </c>
      <c r="AG150" s="99" t="s">
        <v>48</v>
      </c>
    </row>
    <row r="151" spans="1:33" x14ac:dyDescent="0.2">
      <c r="A151" s="93">
        <v>234.3</v>
      </c>
      <c r="B151" s="95">
        <f t="shared" si="8"/>
        <v>3</v>
      </c>
      <c r="C151" s="117" t="s">
        <v>643</v>
      </c>
      <c r="D151" s="96" t="str">
        <f t="shared" si="7"/>
        <v xml:space="preserve">                  Radwaste Processing System</v>
      </c>
      <c r="E151" s="96"/>
      <c r="F151" s="96"/>
      <c r="G151" s="97"/>
      <c r="H151" s="96"/>
      <c r="I151" s="103"/>
      <c r="J151" s="102"/>
      <c r="K151" s="102"/>
      <c r="L151" s="108"/>
      <c r="M151" s="118"/>
      <c r="N151" s="108"/>
      <c r="O151" s="108"/>
      <c r="P151" s="105"/>
      <c r="Q151" s="105"/>
      <c r="R151" s="108"/>
      <c r="S151" s="118"/>
      <c r="T151" s="108"/>
      <c r="U151" s="108"/>
      <c r="V151" s="108"/>
      <c r="W151" s="99"/>
      <c r="X151" s="109"/>
      <c r="Y151" s="109"/>
      <c r="Z151" s="99"/>
      <c r="AA151" s="100"/>
      <c r="AB151" s="100"/>
      <c r="AC151" s="99"/>
      <c r="AD151" s="100"/>
      <c r="AE151" s="100"/>
      <c r="AF151" s="100"/>
      <c r="AG151" s="99"/>
    </row>
    <row r="152" spans="1:33" ht="38.25" customHeight="1" x14ac:dyDescent="0.2">
      <c r="A152" s="93">
        <v>234.31</v>
      </c>
      <c r="B152" s="95">
        <f t="shared" si="8"/>
        <v>4</v>
      </c>
      <c r="C152" s="117" t="s">
        <v>644</v>
      </c>
      <c r="D152" s="96" t="str">
        <f t="shared" si="7"/>
        <v xml:space="preserve">                        Gas Waste System</v>
      </c>
      <c r="E152" s="96" t="s">
        <v>35</v>
      </c>
      <c r="F152" s="96" t="s">
        <v>565</v>
      </c>
      <c r="G152" s="97">
        <v>1</v>
      </c>
      <c r="H152" s="96"/>
      <c r="I152" s="103"/>
      <c r="J152" s="102"/>
      <c r="K152" s="102">
        <f>3330589.8/N152</f>
        <v>974.71167690956975</v>
      </c>
      <c r="L152" s="108" t="s">
        <v>98</v>
      </c>
      <c r="M152" s="118" t="s">
        <v>641</v>
      </c>
      <c r="N152" s="108">
        <v>3417</v>
      </c>
      <c r="O152" s="108" t="s">
        <v>100</v>
      </c>
      <c r="P152" s="105">
        <v>0.8</v>
      </c>
      <c r="Q152" s="105">
        <v>2018</v>
      </c>
      <c r="R152" s="108" t="s">
        <v>86</v>
      </c>
      <c r="S152" s="118" t="s">
        <v>189</v>
      </c>
      <c r="T152" s="108"/>
      <c r="U152" s="108"/>
      <c r="V152" s="108"/>
      <c r="W152" s="99" t="s">
        <v>43</v>
      </c>
      <c r="X152" s="109">
        <f>0.8*$I152</f>
        <v>0</v>
      </c>
      <c r="Y152" s="109">
        <f>2*J152</f>
        <v>0</v>
      </c>
      <c r="Z152" s="99" t="s">
        <v>44</v>
      </c>
      <c r="AA152" s="100">
        <f>0.8*K152</f>
        <v>779.7693415276558</v>
      </c>
      <c r="AB152" s="100">
        <f>2*K152</f>
        <v>1949.4233538191395</v>
      </c>
      <c r="AC152" s="99" t="s">
        <v>44</v>
      </c>
      <c r="AD152" s="100" t="s">
        <v>45</v>
      </c>
      <c r="AE152" s="100" t="s">
        <v>46</v>
      </c>
      <c r="AF152" s="100" t="s">
        <v>47</v>
      </c>
      <c r="AG152" s="99" t="s">
        <v>48</v>
      </c>
    </row>
    <row r="153" spans="1:33" ht="38.25" customHeight="1" x14ac:dyDescent="0.2">
      <c r="A153" s="93">
        <v>234.32</v>
      </c>
      <c r="B153" s="95">
        <f t="shared" ref="B153:B184" si="9">IF(ISNUMBER(A153),
IF(AND(A153=INT(A153), MOD(A153, 10) = 0), 0,
IF(AND(A153=INT(A153), LEN(A153)=2), 1,
IF(AND(A153=INT(A153), LEN(A153)=3), 2,
LEN(A153) - FIND(".", A153) + 2)
)
),
"")</f>
        <v>4</v>
      </c>
      <c r="C153" s="117" t="s">
        <v>645</v>
      </c>
      <c r="D153" s="96" t="str">
        <f t="shared" si="7"/>
        <v xml:space="preserve">                        Liquid Waste System</v>
      </c>
      <c r="E153" s="96" t="s">
        <v>35</v>
      </c>
      <c r="F153" s="96" t="s">
        <v>565</v>
      </c>
      <c r="G153" s="97">
        <v>1</v>
      </c>
      <c r="H153" s="96"/>
      <c r="I153" s="103"/>
      <c r="J153" s="102"/>
      <c r="K153" s="102">
        <f>33058834.16/N153</f>
        <v>9674.8124553702073</v>
      </c>
      <c r="L153" s="108" t="s">
        <v>98</v>
      </c>
      <c r="M153" s="118" t="s">
        <v>641</v>
      </c>
      <c r="N153" s="108">
        <v>3417</v>
      </c>
      <c r="O153" s="108" t="s">
        <v>100</v>
      </c>
      <c r="P153" s="105">
        <v>0.8</v>
      </c>
      <c r="Q153" s="105">
        <v>2018</v>
      </c>
      <c r="R153" s="108" t="s">
        <v>86</v>
      </c>
      <c r="S153" s="118" t="s">
        <v>189</v>
      </c>
      <c r="T153" s="108"/>
      <c r="U153" s="108"/>
      <c r="V153" s="108"/>
      <c r="W153" s="99" t="s">
        <v>43</v>
      </c>
      <c r="X153" s="109">
        <f>0.8*$I153</f>
        <v>0</v>
      </c>
      <c r="Y153" s="109">
        <f>2*J153</f>
        <v>0</v>
      </c>
      <c r="Z153" s="99" t="s">
        <v>44</v>
      </c>
      <c r="AA153" s="100">
        <f>0.8*K153</f>
        <v>7739.849964296166</v>
      </c>
      <c r="AB153" s="100">
        <f>2*K153</f>
        <v>19349.624910740415</v>
      </c>
      <c r="AC153" s="99" t="s">
        <v>44</v>
      </c>
      <c r="AD153" s="100" t="s">
        <v>45</v>
      </c>
      <c r="AE153" s="100" t="s">
        <v>46</v>
      </c>
      <c r="AF153" s="100" t="s">
        <v>47</v>
      </c>
      <c r="AG153" s="99" t="s">
        <v>48</v>
      </c>
    </row>
    <row r="154" spans="1:33" ht="38.25" customHeight="1" x14ac:dyDescent="0.2">
      <c r="A154" s="93">
        <v>234.33</v>
      </c>
      <c r="B154" s="95">
        <f t="shared" si="9"/>
        <v>4</v>
      </c>
      <c r="C154" s="117" t="s">
        <v>646</v>
      </c>
      <c r="D154" s="96" t="str">
        <f t="shared" si="7"/>
        <v xml:space="preserve">                        Solid Waste System</v>
      </c>
      <c r="E154" s="96" t="s">
        <v>35</v>
      </c>
      <c r="F154" s="96" t="s">
        <v>565</v>
      </c>
      <c r="G154" s="97">
        <v>1</v>
      </c>
      <c r="H154" s="96"/>
      <c r="I154" s="103"/>
      <c r="J154" s="102"/>
      <c r="K154" s="102">
        <f>15805121.88/N154</f>
        <v>4625.438068481124</v>
      </c>
      <c r="L154" s="108" t="s">
        <v>98</v>
      </c>
      <c r="M154" s="118" t="s">
        <v>641</v>
      </c>
      <c r="N154" s="108">
        <v>3417</v>
      </c>
      <c r="O154" s="108" t="s">
        <v>100</v>
      </c>
      <c r="P154" s="105">
        <v>0.8</v>
      </c>
      <c r="Q154" s="105">
        <v>2018</v>
      </c>
      <c r="R154" s="108" t="s">
        <v>86</v>
      </c>
      <c r="S154" s="118" t="s">
        <v>189</v>
      </c>
      <c r="T154" s="108"/>
      <c r="U154" s="108"/>
      <c r="V154" s="108"/>
      <c r="W154" s="99" t="s">
        <v>43</v>
      </c>
      <c r="X154" s="109">
        <f>0.8*$I154</f>
        <v>0</v>
      </c>
      <c r="Y154" s="109">
        <f>2*J154</f>
        <v>0</v>
      </c>
      <c r="Z154" s="99" t="s">
        <v>44</v>
      </c>
      <c r="AA154" s="100">
        <f>0.8*K154</f>
        <v>3700.3504547848993</v>
      </c>
      <c r="AB154" s="100">
        <f>2*K154</f>
        <v>9250.876136962248</v>
      </c>
      <c r="AC154" s="99" t="s">
        <v>44</v>
      </c>
      <c r="AD154" s="100" t="s">
        <v>45</v>
      </c>
      <c r="AE154" s="100" t="s">
        <v>46</v>
      </c>
      <c r="AF154" s="100" t="s">
        <v>47</v>
      </c>
      <c r="AG154" s="99" t="s">
        <v>48</v>
      </c>
    </row>
    <row r="155" spans="1:33" ht="26.25" customHeight="1" x14ac:dyDescent="0.2">
      <c r="A155" s="93">
        <v>234.4</v>
      </c>
      <c r="B155" s="95">
        <f t="shared" si="9"/>
        <v>3</v>
      </c>
      <c r="C155" s="117" t="s">
        <v>647</v>
      </c>
      <c r="D155" s="96" t="str">
        <f t="shared" si="7"/>
        <v xml:space="preserve">                  Inert Gas System</v>
      </c>
      <c r="E155" s="96" t="s">
        <v>35</v>
      </c>
      <c r="F155" s="96" t="s">
        <v>565</v>
      </c>
      <c r="G155" s="97">
        <v>1</v>
      </c>
      <c r="H155" s="96"/>
      <c r="I155" s="103"/>
      <c r="J155" s="102"/>
      <c r="K155" s="102">
        <f>8275000/N155</f>
        <v>41.159063091397293</v>
      </c>
      <c r="L155" s="108" t="s">
        <v>80</v>
      </c>
      <c r="M155" s="118" t="s">
        <v>648</v>
      </c>
      <c r="N155" s="108">
        <v>201049.28</v>
      </c>
      <c r="O155" s="108" t="s">
        <v>82</v>
      </c>
      <c r="P155" s="105">
        <v>0.6</v>
      </c>
      <c r="Q155" s="105">
        <v>1978</v>
      </c>
      <c r="R155" s="108" t="s">
        <v>86</v>
      </c>
      <c r="S155" s="118"/>
      <c r="T155" s="108" t="s">
        <v>649</v>
      </c>
      <c r="U155" s="119" t="s">
        <v>650</v>
      </c>
      <c r="V155" s="108" t="s">
        <v>651</v>
      </c>
      <c r="W155" s="99" t="s">
        <v>43</v>
      </c>
      <c r="X155" s="109">
        <f>0.8*$I155</f>
        <v>0</v>
      </c>
      <c r="Y155" s="109">
        <f>2*J155</f>
        <v>0</v>
      </c>
      <c r="Z155" s="99" t="s">
        <v>44</v>
      </c>
      <c r="AA155" s="100">
        <f>0.8*K155</f>
        <v>32.927250473117837</v>
      </c>
      <c r="AB155" s="100">
        <f>2*K155</f>
        <v>82.318126182794586</v>
      </c>
      <c r="AC155" s="99" t="s">
        <v>44</v>
      </c>
      <c r="AD155" s="100" t="s">
        <v>45</v>
      </c>
      <c r="AE155" s="100" t="s">
        <v>46</v>
      </c>
      <c r="AF155" s="100" t="s">
        <v>47</v>
      </c>
      <c r="AG155" s="99" t="s">
        <v>48</v>
      </c>
    </row>
    <row r="156" spans="1:33" ht="15" customHeight="1" x14ac:dyDescent="0.2">
      <c r="A156" s="93">
        <v>235</v>
      </c>
      <c r="B156" s="95">
        <f t="shared" si="9"/>
        <v>2</v>
      </c>
      <c r="C156" s="117" t="s">
        <v>652</v>
      </c>
      <c r="D156" s="96" t="str">
        <f t="shared" si="7"/>
        <v xml:space="preserve">            Helium Management Equipment</v>
      </c>
      <c r="E156" s="96"/>
      <c r="F156" s="96"/>
      <c r="G156" s="97"/>
      <c r="H156" s="96"/>
      <c r="I156" s="103"/>
      <c r="J156" s="102"/>
      <c r="K156" s="102"/>
      <c r="L156" s="108"/>
      <c r="M156" s="118"/>
      <c r="N156" s="108"/>
      <c r="O156" s="108"/>
      <c r="P156" s="105"/>
      <c r="Q156" s="105"/>
      <c r="R156" s="108"/>
      <c r="S156" s="118"/>
      <c r="T156" s="108"/>
      <c r="U156" s="119"/>
      <c r="V156" s="108"/>
      <c r="W156" s="99"/>
      <c r="X156" s="109"/>
      <c r="Y156" s="109"/>
      <c r="Z156" s="99"/>
      <c r="AA156" s="100"/>
      <c r="AB156" s="100"/>
      <c r="AC156" s="99"/>
      <c r="AD156" s="100"/>
      <c r="AE156" s="100"/>
      <c r="AF156" s="100"/>
      <c r="AG156" s="99"/>
    </row>
    <row r="157" spans="1:33" ht="15" customHeight="1" x14ac:dyDescent="0.2">
      <c r="A157" s="93">
        <v>235.1</v>
      </c>
      <c r="B157" s="95">
        <f t="shared" si="9"/>
        <v>3</v>
      </c>
      <c r="C157" s="117" t="s">
        <v>653</v>
      </c>
      <c r="D157" s="96" t="str">
        <f t="shared" si="7"/>
        <v xml:space="preserve">                  Helium Treatment and Recycle</v>
      </c>
      <c r="E157" s="96" t="s">
        <v>35</v>
      </c>
      <c r="F157" s="96" t="s">
        <v>565</v>
      </c>
      <c r="G157" s="97">
        <v>1</v>
      </c>
      <c r="H157" s="96"/>
      <c r="I157" s="103"/>
      <c r="J157" s="102"/>
      <c r="K157" s="102"/>
      <c r="L157" s="108"/>
      <c r="M157" s="118"/>
      <c r="N157" s="108"/>
      <c r="O157" s="108"/>
      <c r="P157" s="105"/>
      <c r="Q157" s="105"/>
      <c r="R157" s="108"/>
      <c r="S157" s="118"/>
      <c r="T157" s="108"/>
      <c r="U157" s="119"/>
      <c r="V157" s="108"/>
      <c r="W157" s="99" t="s">
        <v>43</v>
      </c>
      <c r="X157" s="109">
        <f>0.8*$I157</f>
        <v>0</v>
      </c>
      <c r="Y157" s="109">
        <f>2*J157</f>
        <v>0</v>
      </c>
      <c r="Z157" s="99" t="s">
        <v>44</v>
      </c>
      <c r="AA157" s="100">
        <f>0.8*K157</f>
        <v>0</v>
      </c>
      <c r="AB157" s="100">
        <f>2*K157</f>
        <v>0</v>
      </c>
      <c r="AC157" s="99" t="s">
        <v>44</v>
      </c>
      <c r="AD157" s="100" t="s">
        <v>45</v>
      </c>
      <c r="AE157" s="100" t="s">
        <v>46</v>
      </c>
      <c r="AF157" s="100" t="s">
        <v>47</v>
      </c>
      <c r="AG157" s="99" t="s">
        <v>48</v>
      </c>
    </row>
    <row r="158" spans="1:33" ht="15" customHeight="1" x14ac:dyDescent="0.2">
      <c r="A158" s="93">
        <v>235.2</v>
      </c>
      <c r="B158" s="95">
        <f t="shared" si="9"/>
        <v>3</v>
      </c>
      <c r="C158" s="117" t="s">
        <v>654</v>
      </c>
      <c r="D158" s="96" t="str">
        <f t="shared" si="7"/>
        <v xml:space="preserve">                  Helium Storage Equipment</v>
      </c>
      <c r="E158" s="96" t="s">
        <v>35</v>
      </c>
      <c r="F158" s="96" t="s">
        <v>565</v>
      </c>
      <c r="G158" s="97">
        <v>1</v>
      </c>
      <c r="H158" s="96"/>
      <c r="I158" s="103"/>
      <c r="J158" s="102"/>
      <c r="K158" s="102"/>
      <c r="L158" s="108"/>
      <c r="M158" s="118"/>
      <c r="N158" s="108"/>
      <c r="O158" s="108"/>
      <c r="P158" s="105"/>
      <c r="Q158" s="105"/>
      <c r="R158" s="108"/>
      <c r="S158" s="118"/>
      <c r="T158" s="108"/>
      <c r="U158" s="119"/>
      <c r="V158" s="108"/>
      <c r="W158" s="99" t="s">
        <v>43</v>
      </c>
      <c r="X158" s="109">
        <f>0.8*$I158</f>
        <v>0</v>
      </c>
      <c r="Y158" s="109">
        <f>2*J158</f>
        <v>0</v>
      </c>
      <c r="Z158" s="99" t="s">
        <v>44</v>
      </c>
      <c r="AA158" s="100">
        <f>0.8*K158</f>
        <v>0</v>
      </c>
      <c r="AB158" s="100">
        <f>2*K158</f>
        <v>0</v>
      </c>
      <c r="AC158" s="99" t="s">
        <v>44</v>
      </c>
      <c r="AD158" s="100" t="s">
        <v>45</v>
      </c>
      <c r="AE158" s="100" t="s">
        <v>46</v>
      </c>
      <c r="AF158" s="100" t="s">
        <v>47</v>
      </c>
      <c r="AG158" s="99" t="s">
        <v>48</v>
      </c>
    </row>
    <row r="159" spans="1:33" ht="15" customHeight="1" x14ac:dyDescent="0.2">
      <c r="A159" s="93">
        <v>235.3</v>
      </c>
      <c r="B159" s="95">
        <f t="shared" si="9"/>
        <v>3</v>
      </c>
      <c r="C159" s="117" t="s">
        <v>655</v>
      </c>
      <c r="D159" s="96" t="str">
        <f t="shared" si="7"/>
        <v xml:space="preserve">                  Helium Transfer Equipment</v>
      </c>
      <c r="E159" s="96" t="s">
        <v>35</v>
      </c>
      <c r="F159" s="96" t="s">
        <v>565</v>
      </c>
      <c r="G159" s="97">
        <v>1</v>
      </c>
      <c r="H159" s="96"/>
      <c r="I159" s="103"/>
      <c r="J159" s="102"/>
      <c r="K159" s="102"/>
      <c r="L159" s="108"/>
      <c r="M159" s="118"/>
      <c r="N159" s="108"/>
      <c r="O159" s="108"/>
      <c r="P159" s="105"/>
      <c r="Q159" s="105"/>
      <c r="R159" s="108"/>
      <c r="S159" s="118"/>
      <c r="T159" s="108"/>
      <c r="U159" s="119"/>
      <c r="V159" s="108"/>
      <c r="W159" s="99" t="s">
        <v>43</v>
      </c>
      <c r="X159" s="109">
        <f>0.8*$I159</f>
        <v>0</v>
      </c>
      <c r="Y159" s="109">
        <f>2*J159</f>
        <v>0</v>
      </c>
      <c r="Z159" s="99" t="s">
        <v>44</v>
      </c>
      <c r="AA159" s="100">
        <f>0.8*K159</f>
        <v>0</v>
      </c>
      <c r="AB159" s="100">
        <f>2*K159</f>
        <v>0</v>
      </c>
      <c r="AC159" s="99" t="s">
        <v>44</v>
      </c>
      <c r="AD159" s="100" t="s">
        <v>45</v>
      </c>
      <c r="AE159" s="100" t="s">
        <v>46</v>
      </c>
      <c r="AF159" s="100" t="s">
        <v>47</v>
      </c>
      <c r="AG159" s="99" t="s">
        <v>48</v>
      </c>
    </row>
    <row r="160" spans="1:33" ht="15" customHeight="1" x14ac:dyDescent="0.2">
      <c r="A160" s="93">
        <v>236</v>
      </c>
      <c r="B160" s="95">
        <f t="shared" si="9"/>
        <v>2</v>
      </c>
      <c r="C160" s="117" t="s">
        <v>656</v>
      </c>
      <c r="D160" s="96" t="str">
        <f t="shared" si="7"/>
        <v xml:space="preserve">            Reactor Cask Management Equipment</v>
      </c>
      <c r="E160" s="96"/>
      <c r="F160" s="96"/>
      <c r="G160" s="97"/>
      <c r="H160" s="96"/>
      <c r="I160" s="103"/>
      <c r="J160" s="102"/>
      <c r="K160" s="102"/>
      <c r="L160" s="108"/>
      <c r="M160" s="118"/>
      <c r="N160" s="108"/>
      <c r="O160" s="108"/>
      <c r="P160" s="105"/>
      <c r="Q160" s="105"/>
      <c r="R160" s="108"/>
      <c r="S160" s="118"/>
      <c r="T160" s="108"/>
      <c r="U160" s="119"/>
      <c r="V160" s="108"/>
      <c r="W160" s="99"/>
      <c r="X160" s="109"/>
      <c r="Y160" s="109"/>
      <c r="Z160" s="99"/>
      <c r="AA160" s="100"/>
      <c r="AB160" s="100"/>
      <c r="AC160" s="99"/>
      <c r="AD160" s="100"/>
      <c r="AE160" s="100"/>
      <c r="AF160" s="100"/>
      <c r="AG160" s="99"/>
    </row>
    <row r="161" spans="1:33" ht="26.25" customHeight="1" x14ac:dyDescent="0.2">
      <c r="A161" s="93">
        <v>236.1</v>
      </c>
      <c r="B161" s="95">
        <f t="shared" si="9"/>
        <v>3</v>
      </c>
      <c r="C161" s="117" t="s">
        <v>657</v>
      </c>
      <c r="D161" s="96" t="str">
        <f t="shared" si="7"/>
        <v xml:space="preserve">                  Cask Inspection Equipment</v>
      </c>
      <c r="E161" s="96" t="s">
        <v>35</v>
      </c>
      <c r="F161" s="96" t="s">
        <v>619</v>
      </c>
      <c r="G161" s="97">
        <v>1</v>
      </c>
      <c r="H161" s="96"/>
      <c r="I161" s="103"/>
      <c r="J161" s="102"/>
      <c r="K161" s="102"/>
      <c r="L161" s="108"/>
      <c r="M161" s="118"/>
      <c r="N161" s="108"/>
      <c r="O161" s="108"/>
      <c r="P161" s="105"/>
      <c r="Q161" s="105"/>
      <c r="R161" s="108"/>
      <c r="S161" s="118"/>
      <c r="T161" s="108"/>
      <c r="U161" s="119"/>
      <c r="V161" s="108"/>
      <c r="W161" s="99" t="s">
        <v>43</v>
      </c>
      <c r="X161" s="109">
        <f>0.8*$I161</f>
        <v>0</v>
      </c>
      <c r="Y161" s="109">
        <f>2*J161</f>
        <v>0</v>
      </c>
      <c r="Z161" s="99" t="s">
        <v>44</v>
      </c>
      <c r="AA161" s="100">
        <f>0.8*K161</f>
        <v>0</v>
      </c>
      <c r="AB161" s="100">
        <f>2*K161</f>
        <v>0</v>
      </c>
      <c r="AC161" s="99" t="s">
        <v>44</v>
      </c>
      <c r="AD161" s="100" t="s">
        <v>45</v>
      </c>
      <c r="AE161" s="100" t="s">
        <v>46</v>
      </c>
      <c r="AF161" s="100" t="s">
        <v>47</v>
      </c>
      <c r="AG161" s="99" t="s">
        <v>48</v>
      </c>
    </row>
    <row r="162" spans="1:33" ht="26.25" customHeight="1" x14ac:dyDescent="0.2">
      <c r="A162" s="93">
        <v>236.1</v>
      </c>
      <c r="B162" s="95">
        <f t="shared" si="9"/>
        <v>3</v>
      </c>
      <c r="C162" s="117" t="s">
        <v>658</v>
      </c>
      <c r="D162" s="96" t="str">
        <f t="shared" si="7"/>
        <v xml:space="preserve">                  Cask Transfer Crane</v>
      </c>
      <c r="E162" s="96" t="s">
        <v>35</v>
      </c>
      <c r="F162" s="96" t="s">
        <v>619</v>
      </c>
      <c r="G162" s="97">
        <v>0.1</v>
      </c>
      <c r="H162" s="96"/>
      <c r="I162" s="103"/>
      <c r="J162" s="102"/>
      <c r="K162" s="102"/>
      <c r="L162" s="108"/>
      <c r="M162" s="118"/>
      <c r="N162" s="108"/>
      <c r="O162" s="108"/>
      <c r="P162" s="105"/>
      <c r="Q162" s="105"/>
      <c r="R162" s="108"/>
      <c r="S162" s="118"/>
      <c r="T162" s="108"/>
      <c r="U162" s="119"/>
      <c r="V162" s="108"/>
      <c r="W162" s="99" t="s">
        <v>43</v>
      </c>
      <c r="X162" s="109">
        <f>0.9*$J162</f>
        <v>0</v>
      </c>
      <c r="Y162" s="109">
        <f>1.5*J162</f>
        <v>0</v>
      </c>
      <c r="Z162" s="99" t="s">
        <v>44</v>
      </c>
      <c r="AA162" s="100">
        <f>0.9*K162</f>
        <v>0</v>
      </c>
      <c r="AB162" s="100">
        <f>1.3*K162</f>
        <v>0</v>
      </c>
      <c r="AC162" s="99" t="s">
        <v>44</v>
      </c>
      <c r="AD162" s="100" t="s">
        <v>45</v>
      </c>
      <c r="AE162" s="100" t="s">
        <v>46</v>
      </c>
      <c r="AF162" s="100" t="s">
        <v>47</v>
      </c>
      <c r="AG162" s="99" t="s">
        <v>48</v>
      </c>
    </row>
    <row r="163" spans="1:33" ht="26.25" customHeight="1" x14ac:dyDescent="0.2">
      <c r="A163" s="93">
        <v>236.1</v>
      </c>
      <c r="B163" s="95">
        <f t="shared" si="9"/>
        <v>3</v>
      </c>
      <c r="C163" s="117" t="s">
        <v>659</v>
      </c>
      <c r="D163" s="96" t="str">
        <f t="shared" si="7"/>
        <v xml:space="preserve">                  Cask Storage Rack</v>
      </c>
      <c r="E163" s="96" t="s">
        <v>35</v>
      </c>
      <c r="F163" s="96" t="s">
        <v>619</v>
      </c>
      <c r="G163" s="97">
        <v>0.1</v>
      </c>
      <c r="H163" s="96"/>
      <c r="I163" s="103"/>
      <c r="J163" s="102"/>
      <c r="K163" s="102"/>
      <c r="L163" s="108"/>
      <c r="M163" s="118"/>
      <c r="N163" s="108"/>
      <c r="O163" s="108"/>
      <c r="P163" s="105"/>
      <c r="Q163" s="105"/>
      <c r="R163" s="108"/>
      <c r="S163" s="118"/>
      <c r="T163" s="108"/>
      <c r="U163" s="119"/>
      <c r="V163" s="108"/>
      <c r="W163" s="99" t="s">
        <v>43</v>
      </c>
      <c r="X163" s="109">
        <f>0.9*$J163</f>
        <v>0</v>
      </c>
      <c r="Y163" s="109">
        <f>1.5*J163</f>
        <v>0</v>
      </c>
      <c r="Z163" s="99" t="s">
        <v>44</v>
      </c>
      <c r="AA163" s="100">
        <f>0.9*K163</f>
        <v>0</v>
      </c>
      <c r="AB163" s="100">
        <f>1.3*K163</f>
        <v>0</v>
      </c>
      <c r="AC163" s="99" t="s">
        <v>44</v>
      </c>
      <c r="AD163" s="100" t="s">
        <v>45</v>
      </c>
      <c r="AE163" s="100" t="s">
        <v>46</v>
      </c>
      <c r="AF163" s="100" t="s">
        <v>47</v>
      </c>
      <c r="AG163" s="99" t="s">
        <v>48</v>
      </c>
    </row>
    <row r="164" spans="1:33" x14ac:dyDescent="0.2">
      <c r="A164" s="93">
        <v>239</v>
      </c>
      <c r="B164" s="95">
        <f t="shared" si="9"/>
        <v>2</v>
      </c>
      <c r="C164" s="117" t="s">
        <v>660</v>
      </c>
      <c r="D164" s="96" t="str">
        <f t="shared" si="7"/>
        <v xml:space="preserve">            Integrated Control System</v>
      </c>
      <c r="E164" s="96"/>
      <c r="F164" s="96"/>
      <c r="G164" s="97"/>
      <c r="H164" s="96"/>
      <c r="I164" s="103"/>
      <c r="J164" s="102"/>
      <c r="K164" s="102"/>
      <c r="L164" s="108"/>
      <c r="M164" s="118"/>
      <c r="N164" s="108"/>
      <c r="O164" s="108"/>
      <c r="P164" s="105"/>
      <c r="Q164" s="105"/>
      <c r="R164" s="108"/>
      <c r="S164" s="118"/>
      <c r="T164" s="108"/>
      <c r="U164" s="108"/>
      <c r="V164" s="108"/>
      <c r="W164" s="99"/>
      <c r="X164" s="109"/>
      <c r="Y164" s="109"/>
      <c r="Z164" s="99"/>
      <c r="AA164" s="100"/>
      <c r="AB164" s="100"/>
      <c r="AC164" s="99"/>
      <c r="AD164" s="100"/>
      <c r="AE164" s="100"/>
      <c r="AF164" s="100"/>
      <c r="AG164" s="99"/>
    </row>
    <row r="165" spans="1:33" x14ac:dyDescent="0.2">
      <c r="A165" s="93">
        <v>239.1</v>
      </c>
      <c r="B165" s="95">
        <f t="shared" si="9"/>
        <v>3</v>
      </c>
      <c r="C165" s="117" t="s">
        <v>661</v>
      </c>
      <c r="D165" s="96" t="str">
        <f t="shared" si="7"/>
        <v xml:space="preserve">                  Plant Control Systems</v>
      </c>
      <c r="E165" s="96" t="s">
        <v>35</v>
      </c>
      <c r="F165" s="96" t="s">
        <v>565</v>
      </c>
      <c r="G165" s="97">
        <v>1</v>
      </c>
      <c r="H165" s="96"/>
      <c r="I165" s="103"/>
      <c r="J165" s="102"/>
      <c r="K165" s="102"/>
      <c r="L165" s="108"/>
      <c r="M165" s="118"/>
      <c r="N165" s="108"/>
      <c r="O165" s="108"/>
      <c r="P165" s="105"/>
      <c r="Q165" s="105"/>
      <c r="R165" s="108"/>
      <c r="S165" s="118"/>
      <c r="T165" s="108"/>
      <c r="U165" s="108"/>
      <c r="V165" s="108"/>
      <c r="W165" s="99" t="s">
        <v>43</v>
      </c>
      <c r="X165" s="109">
        <f t="shared" ref="X165:X170" si="10">0.9*$J165</f>
        <v>0</v>
      </c>
      <c r="Y165" s="109">
        <f t="shared" ref="Y165:Y170" si="11">1.5*J165</f>
        <v>0</v>
      </c>
      <c r="Z165" s="99" t="s">
        <v>44</v>
      </c>
      <c r="AA165" s="100">
        <f t="shared" ref="AA165:AA170" si="12">0.9*K165</f>
        <v>0</v>
      </c>
      <c r="AB165" s="100">
        <f t="shared" ref="AB165:AB170" si="13">1.3*K165</f>
        <v>0</v>
      </c>
      <c r="AC165" s="99" t="s">
        <v>44</v>
      </c>
      <c r="AD165" s="100" t="s">
        <v>45</v>
      </c>
      <c r="AE165" s="100" t="s">
        <v>46</v>
      </c>
      <c r="AF165" s="100" t="s">
        <v>47</v>
      </c>
      <c r="AG165" s="99" t="s">
        <v>48</v>
      </c>
    </row>
    <row r="166" spans="1:33" x14ac:dyDescent="0.2">
      <c r="A166" s="93">
        <v>239.2</v>
      </c>
      <c r="B166" s="95">
        <f t="shared" si="9"/>
        <v>3</v>
      </c>
      <c r="C166" s="117" t="s">
        <v>662</v>
      </c>
      <c r="D166" s="96" t="str">
        <f t="shared" si="7"/>
        <v xml:space="preserve">                  Instrumentation and Controls</v>
      </c>
      <c r="E166" s="96" t="s">
        <v>35</v>
      </c>
      <c r="F166" s="96" t="s">
        <v>565</v>
      </c>
      <c r="G166" s="97">
        <v>1</v>
      </c>
      <c r="H166" s="96"/>
      <c r="I166" s="103"/>
      <c r="J166" s="102"/>
      <c r="K166" s="102"/>
      <c r="L166" s="108"/>
      <c r="M166" s="118"/>
      <c r="N166" s="108"/>
      <c r="O166" s="108"/>
      <c r="P166" s="105"/>
      <c r="Q166" s="105"/>
      <c r="R166" s="108"/>
      <c r="S166" s="118"/>
      <c r="T166" s="108"/>
      <c r="U166" s="108"/>
      <c r="V166" s="108"/>
      <c r="W166" s="99" t="s">
        <v>43</v>
      </c>
      <c r="X166" s="109">
        <f t="shared" si="10"/>
        <v>0</v>
      </c>
      <c r="Y166" s="109">
        <f t="shared" si="11"/>
        <v>0</v>
      </c>
      <c r="Z166" s="99" t="s">
        <v>44</v>
      </c>
      <c r="AA166" s="100">
        <f t="shared" si="12"/>
        <v>0</v>
      </c>
      <c r="AB166" s="100">
        <f t="shared" si="13"/>
        <v>0</v>
      </c>
      <c r="AC166" s="99" t="s">
        <v>44</v>
      </c>
      <c r="AD166" s="100" t="s">
        <v>45</v>
      </c>
      <c r="AE166" s="100" t="s">
        <v>46</v>
      </c>
      <c r="AF166" s="100" t="s">
        <v>47</v>
      </c>
      <c r="AG166" s="99" t="s">
        <v>48</v>
      </c>
    </row>
    <row r="167" spans="1:33" x14ac:dyDescent="0.2">
      <c r="A167" s="93">
        <v>239.3</v>
      </c>
      <c r="B167" s="95">
        <f t="shared" si="9"/>
        <v>3</v>
      </c>
      <c r="C167" s="117" t="s">
        <v>663</v>
      </c>
      <c r="D167" s="96" t="str">
        <f t="shared" si="7"/>
        <v xml:space="preserve">                  Process Computer</v>
      </c>
      <c r="E167" s="96" t="s">
        <v>35</v>
      </c>
      <c r="F167" s="96" t="s">
        <v>565</v>
      </c>
      <c r="G167" s="97">
        <v>1</v>
      </c>
      <c r="H167" s="96"/>
      <c r="I167" s="103"/>
      <c r="J167" s="102"/>
      <c r="K167" s="102"/>
      <c r="L167" s="108"/>
      <c r="M167" s="118"/>
      <c r="N167" s="108"/>
      <c r="O167" s="108"/>
      <c r="P167" s="105"/>
      <c r="Q167" s="105"/>
      <c r="R167" s="108"/>
      <c r="S167" s="118"/>
      <c r="T167" s="108"/>
      <c r="U167" s="108"/>
      <c r="V167" s="108"/>
      <c r="W167" s="99" t="s">
        <v>43</v>
      </c>
      <c r="X167" s="109">
        <f t="shared" si="10"/>
        <v>0</v>
      </c>
      <c r="Y167" s="109">
        <f t="shared" si="11"/>
        <v>0</v>
      </c>
      <c r="Z167" s="99" t="s">
        <v>44</v>
      </c>
      <c r="AA167" s="100">
        <f t="shared" si="12"/>
        <v>0</v>
      </c>
      <c r="AB167" s="100">
        <f t="shared" si="13"/>
        <v>0</v>
      </c>
      <c r="AC167" s="99" t="s">
        <v>44</v>
      </c>
      <c r="AD167" s="100" t="s">
        <v>45</v>
      </c>
      <c r="AE167" s="100" t="s">
        <v>46</v>
      </c>
      <c r="AF167" s="100" t="s">
        <v>47</v>
      </c>
      <c r="AG167" s="99" t="s">
        <v>48</v>
      </c>
    </row>
    <row r="168" spans="1:33" x14ac:dyDescent="0.2">
      <c r="A168" s="93">
        <v>239.4</v>
      </c>
      <c r="B168" s="95">
        <f t="shared" si="9"/>
        <v>3</v>
      </c>
      <c r="C168" s="117" t="s">
        <v>664</v>
      </c>
      <c r="D168" s="96" t="str">
        <f t="shared" si="7"/>
        <v xml:space="preserve">                  Alarm System</v>
      </c>
      <c r="E168" s="96" t="s">
        <v>35</v>
      </c>
      <c r="F168" s="96" t="s">
        <v>565</v>
      </c>
      <c r="G168" s="97">
        <v>1</v>
      </c>
      <c r="H168" s="96"/>
      <c r="I168" s="103"/>
      <c r="J168" s="102"/>
      <c r="K168" s="102"/>
      <c r="L168" s="108"/>
      <c r="M168" s="118"/>
      <c r="N168" s="108"/>
      <c r="O168" s="108"/>
      <c r="P168" s="105"/>
      <c r="Q168" s="105"/>
      <c r="R168" s="108"/>
      <c r="S168" s="118"/>
      <c r="T168" s="108"/>
      <c r="U168" s="108"/>
      <c r="V168" s="108"/>
      <c r="W168" s="99" t="s">
        <v>43</v>
      </c>
      <c r="X168" s="109">
        <f t="shared" si="10"/>
        <v>0</v>
      </c>
      <c r="Y168" s="109">
        <f t="shared" si="11"/>
        <v>0</v>
      </c>
      <c r="Z168" s="99" t="s">
        <v>44</v>
      </c>
      <c r="AA168" s="100">
        <f t="shared" si="12"/>
        <v>0</v>
      </c>
      <c r="AB168" s="100">
        <f t="shared" si="13"/>
        <v>0</v>
      </c>
      <c r="AC168" s="99" t="s">
        <v>44</v>
      </c>
      <c r="AD168" s="100" t="s">
        <v>45</v>
      </c>
      <c r="AE168" s="100" t="s">
        <v>46</v>
      </c>
      <c r="AF168" s="100" t="s">
        <v>47</v>
      </c>
      <c r="AG168" s="99" t="s">
        <v>48</v>
      </c>
    </row>
    <row r="169" spans="1:33" x14ac:dyDescent="0.2">
      <c r="A169" s="93">
        <v>239.5</v>
      </c>
      <c r="B169" s="95">
        <f t="shared" si="9"/>
        <v>3</v>
      </c>
      <c r="C169" s="117" t="s">
        <v>665</v>
      </c>
      <c r="D169" s="96" t="str">
        <f t="shared" si="7"/>
        <v xml:space="preserve">                  Monitoring System</v>
      </c>
      <c r="E169" s="96" t="s">
        <v>35</v>
      </c>
      <c r="F169" s="96" t="s">
        <v>565</v>
      </c>
      <c r="G169" s="97">
        <v>1</v>
      </c>
      <c r="H169" s="96"/>
      <c r="I169" s="103"/>
      <c r="J169" s="102"/>
      <c r="K169" s="102"/>
      <c r="L169" s="108"/>
      <c r="M169" s="118"/>
      <c r="N169" s="108"/>
      <c r="O169" s="108"/>
      <c r="P169" s="105"/>
      <c r="Q169" s="105"/>
      <c r="R169" s="108"/>
      <c r="S169" s="118"/>
      <c r="T169" s="108"/>
      <c r="U169" s="108"/>
      <c r="V169" s="108"/>
      <c r="W169" s="99" t="s">
        <v>43</v>
      </c>
      <c r="X169" s="109">
        <f t="shared" si="10"/>
        <v>0</v>
      </c>
      <c r="Y169" s="109">
        <f t="shared" si="11"/>
        <v>0</v>
      </c>
      <c r="Z169" s="99" t="s">
        <v>44</v>
      </c>
      <c r="AA169" s="100">
        <f t="shared" si="12"/>
        <v>0</v>
      </c>
      <c r="AB169" s="100">
        <f t="shared" si="13"/>
        <v>0</v>
      </c>
      <c r="AC169" s="99" t="s">
        <v>44</v>
      </c>
      <c r="AD169" s="100" t="s">
        <v>45</v>
      </c>
      <c r="AE169" s="100" t="s">
        <v>46</v>
      </c>
      <c r="AF169" s="100" t="s">
        <v>47</v>
      </c>
      <c r="AG169" s="99" t="s">
        <v>48</v>
      </c>
    </row>
    <row r="170" spans="1:33" x14ac:dyDescent="0.2">
      <c r="A170" s="93">
        <v>239.6</v>
      </c>
      <c r="B170" s="95">
        <f t="shared" si="9"/>
        <v>3</v>
      </c>
      <c r="C170" s="117" t="s">
        <v>666</v>
      </c>
      <c r="D170" s="96" t="str">
        <f t="shared" si="7"/>
        <v xml:space="preserve">                  Communication System</v>
      </c>
      <c r="E170" s="96" t="s">
        <v>35</v>
      </c>
      <c r="F170" s="96" t="s">
        <v>565</v>
      </c>
      <c r="G170" s="97">
        <v>1</v>
      </c>
      <c r="H170" s="96"/>
      <c r="I170" s="103"/>
      <c r="J170" s="102"/>
      <c r="K170" s="102"/>
      <c r="L170" s="108"/>
      <c r="M170" s="118"/>
      <c r="N170" s="108"/>
      <c r="O170" s="108"/>
      <c r="P170" s="105"/>
      <c r="Q170" s="105"/>
      <c r="R170" s="108"/>
      <c r="S170" s="118"/>
      <c r="T170" s="108"/>
      <c r="U170" s="108"/>
      <c r="V170" s="108"/>
      <c r="W170" s="99" t="s">
        <v>43</v>
      </c>
      <c r="X170" s="109">
        <f t="shared" si="10"/>
        <v>0</v>
      </c>
      <c r="Y170" s="109">
        <f t="shared" si="11"/>
        <v>0</v>
      </c>
      <c r="Z170" s="99" t="s">
        <v>44</v>
      </c>
      <c r="AA170" s="100">
        <f t="shared" si="12"/>
        <v>0</v>
      </c>
      <c r="AB170" s="100">
        <f t="shared" si="13"/>
        <v>0</v>
      </c>
      <c r="AC170" s="99" t="s">
        <v>44</v>
      </c>
      <c r="AD170" s="100" t="s">
        <v>45</v>
      </c>
      <c r="AE170" s="100" t="s">
        <v>46</v>
      </c>
      <c r="AF170" s="100" t="s">
        <v>47</v>
      </c>
      <c r="AG170" s="99" t="s">
        <v>48</v>
      </c>
    </row>
    <row r="171" spans="1:33" ht="25.5" customHeight="1" x14ac:dyDescent="0.2">
      <c r="A171" s="114">
        <v>24</v>
      </c>
      <c r="B171" s="95">
        <f t="shared" si="9"/>
        <v>1</v>
      </c>
      <c r="C171" s="117" t="s">
        <v>667</v>
      </c>
      <c r="D171" s="96" t="str">
        <f t="shared" si="7"/>
        <v xml:space="preserve">      New Reactor Fueling and Testing Facility Equipment</v>
      </c>
      <c r="E171" s="96"/>
      <c r="F171" s="96"/>
      <c r="G171" s="97"/>
      <c r="H171" s="96"/>
      <c r="I171" s="103"/>
      <c r="J171" s="102"/>
      <c r="K171" s="102"/>
      <c r="L171" s="108"/>
      <c r="M171" s="118"/>
      <c r="N171" s="108"/>
      <c r="O171" s="108"/>
      <c r="P171" s="105"/>
      <c r="Q171" s="105"/>
      <c r="R171" s="108"/>
      <c r="S171" s="118"/>
      <c r="T171" s="108"/>
      <c r="U171" s="108"/>
      <c r="V171" s="108"/>
      <c r="W171" s="99"/>
      <c r="X171" s="109"/>
      <c r="Y171" s="109"/>
      <c r="Z171" s="99"/>
      <c r="AA171" s="100"/>
      <c r="AB171" s="100"/>
      <c r="AC171" s="99"/>
      <c r="AD171" s="100"/>
      <c r="AE171" s="100"/>
      <c r="AF171" s="100"/>
      <c r="AG171" s="99"/>
    </row>
    <row r="172" spans="1:33" x14ac:dyDescent="0.2">
      <c r="A172" s="114">
        <v>241</v>
      </c>
      <c r="B172" s="95">
        <f t="shared" si="9"/>
        <v>2</v>
      </c>
      <c r="C172" s="117" t="s">
        <v>668</v>
      </c>
      <c r="D172" s="96" t="str">
        <f t="shared" si="7"/>
        <v xml:space="preserve">            New Reactor Fueling Equipment</v>
      </c>
      <c r="E172" s="96"/>
      <c r="F172" s="96"/>
      <c r="G172" s="97"/>
      <c r="H172" s="96"/>
      <c r="I172" s="103"/>
      <c r="J172" s="102"/>
      <c r="K172" s="102"/>
      <c r="L172" s="108"/>
      <c r="M172" s="118"/>
      <c r="N172" s="108"/>
      <c r="O172" s="108"/>
      <c r="P172" s="105"/>
      <c r="Q172" s="105"/>
      <c r="R172" s="108"/>
      <c r="S172" s="118"/>
      <c r="T172" s="108"/>
      <c r="U172" s="108"/>
      <c r="V172" s="108"/>
      <c r="W172" s="99"/>
      <c r="X172" s="109"/>
      <c r="Y172" s="109"/>
      <c r="Z172" s="99"/>
      <c r="AA172" s="100"/>
      <c r="AB172" s="100"/>
      <c r="AC172" s="99"/>
      <c r="AD172" s="100"/>
      <c r="AE172" s="100"/>
      <c r="AF172" s="100"/>
      <c r="AG172" s="99"/>
    </row>
    <row r="173" spans="1:33" ht="38.25" customHeight="1" x14ac:dyDescent="0.2">
      <c r="A173" s="114">
        <v>241.1</v>
      </c>
      <c r="B173" s="95">
        <f t="shared" si="9"/>
        <v>3</v>
      </c>
      <c r="C173" s="117" t="s">
        <v>625</v>
      </c>
      <c r="D173" s="96" t="str">
        <f t="shared" si="7"/>
        <v xml:space="preserve">                  Operating Platform</v>
      </c>
      <c r="E173" s="96" t="s">
        <v>35</v>
      </c>
      <c r="F173" s="96" t="s">
        <v>596</v>
      </c>
      <c r="G173" s="97"/>
      <c r="H173" s="96"/>
      <c r="I173" s="103"/>
      <c r="J173" s="102"/>
      <c r="K173" s="102"/>
      <c r="L173" s="108"/>
      <c r="M173" s="118"/>
      <c r="N173" s="108"/>
      <c r="O173" s="108"/>
      <c r="P173" s="105"/>
      <c r="Q173" s="105"/>
      <c r="R173" s="108"/>
      <c r="S173" s="118"/>
      <c r="T173" s="108"/>
      <c r="U173" s="108"/>
      <c r="V173" s="118"/>
      <c r="W173" s="99" t="s">
        <v>43</v>
      </c>
      <c r="X173" s="109">
        <f>0.8*$I173</f>
        <v>0</v>
      </c>
      <c r="Y173" s="109">
        <f>2*J173</f>
        <v>0</v>
      </c>
      <c r="Z173" s="99" t="s">
        <v>44</v>
      </c>
      <c r="AA173" s="100">
        <f>0.8*K173</f>
        <v>0</v>
      </c>
      <c r="AB173" s="100">
        <f>2*K173</f>
        <v>0</v>
      </c>
      <c r="AC173" s="99" t="s">
        <v>44</v>
      </c>
      <c r="AD173" s="100" t="s">
        <v>45</v>
      </c>
      <c r="AE173" s="100" t="s">
        <v>46</v>
      </c>
      <c r="AF173" s="100" t="s">
        <v>47</v>
      </c>
      <c r="AG173" s="99" t="s">
        <v>48</v>
      </c>
    </row>
    <row r="174" spans="1:33" ht="38.25" customHeight="1" x14ac:dyDescent="0.2">
      <c r="A174" s="114">
        <v>241.1</v>
      </c>
      <c r="B174" s="95">
        <f t="shared" si="9"/>
        <v>3</v>
      </c>
      <c r="C174" s="117" t="s">
        <v>669</v>
      </c>
      <c r="D174" s="96" t="str">
        <f t="shared" si="7"/>
        <v xml:space="preserve">                  Fuel Handling Robot</v>
      </c>
      <c r="E174" s="96" t="s">
        <v>35</v>
      </c>
      <c r="F174" s="96" t="s">
        <v>596</v>
      </c>
      <c r="G174" s="97">
        <v>6</v>
      </c>
      <c r="H174" s="96"/>
      <c r="I174" s="103"/>
      <c r="J174" s="102">
        <v>232000</v>
      </c>
      <c r="K174" s="102"/>
      <c r="L174" s="108"/>
      <c r="M174" s="118"/>
      <c r="N174" s="108"/>
      <c r="O174" s="108"/>
      <c r="P174" s="105"/>
      <c r="Q174" s="105">
        <v>2023</v>
      </c>
      <c r="R174" s="108" t="s">
        <v>86</v>
      </c>
      <c r="S174" s="118" t="s">
        <v>620</v>
      </c>
      <c r="T174" s="108"/>
      <c r="U174" s="108"/>
      <c r="V174" s="108" t="s">
        <v>621</v>
      </c>
      <c r="W174" s="99" t="s">
        <v>43</v>
      </c>
      <c r="X174" s="109">
        <v>116000</v>
      </c>
      <c r="Y174" s="109">
        <v>348000</v>
      </c>
      <c r="Z174" s="99" t="s">
        <v>44</v>
      </c>
      <c r="AA174" s="100">
        <f>0.8*K174</f>
        <v>0</v>
      </c>
      <c r="AB174" s="100">
        <f>2*K174</f>
        <v>0</v>
      </c>
      <c r="AC174" s="99" t="s">
        <v>44</v>
      </c>
      <c r="AD174" s="100" t="s">
        <v>45</v>
      </c>
      <c r="AE174" s="100" t="s">
        <v>46</v>
      </c>
      <c r="AF174" s="100" t="s">
        <v>47</v>
      </c>
      <c r="AG174" s="99" t="s">
        <v>48</v>
      </c>
    </row>
    <row r="175" spans="1:33" ht="38.25" customHeight="1" x14ac:dyDescent="0.2">
      <c r="A175" s="114">
        <v>241.1</v>
      </c>
      <c r="B175" s="95">
        <f t="shared" si="9"/>
        <v>3</v>
      </c>
      <c r="C175" s="117" t="s">
        <v>622</v>
      </c>
      <c r="D175" s="96" t="str">
        <f t="shared" si="7"/>
        <v xml:space="preserve">                  Fuel Crane</v>
      </c>
      <c r="E175" s="96" t="s">
        <v>35</v>
      </c>
      <c r="F175" s="96" t="s">
        <v>596</v>
      </c>
      <c r="G175" s="97">
        <v>2</v>
      </c>
      <c r="H175" s="96"/>
      <c r="I175" s="103"/>
      <c r="J175" s="102">
        <v>1971000</v>
      </c>
      <c r="K175" s="102"/>
      <c r="L175" s="108"/>
      <c r="M175" s="118"/>
      <c r="N175" s="108"/>
      <c r="O175" s="108"/>
      <c r="P175" s="105"/>
      <c r="Q175" s="105">
        <v>2023</v>
      </c>
      <c r="R175" s="108" t="s">
        <v>86</v>
      </c>
      <c r="S175" s="118" t="s">
        <v>620</v>
      </c>
      <c r="T175" s="108"/>
      <c r="U175" s="108"/>
      <c r="V175" s="108" t="s">
        <v>623</v>
      </c>
      <c r="W175" s="99" t="s">
        <v>43</v>
      </c>
      <c r="X175" s="109">
        <v>1752000</v>
      </c>
      <c r="Y175" s="109">
        <v>2190000</v>
      </c>
      <c r="Z175" s="99" t="s">
        <v>44</v>
      </c>
      <c r="AA175" s="100">
        <f>0.8*K175</f>
        <v>0</v>
      </c>
      <c r="AB175" s="100">
        <f>2*K175</f>
        <v>0</v>
      </c>
      <c r="AC175" s="99" t="s">
        <v>44</v>
      </c>
      <c r="AD175" s="100" t="s">
        <v>45</v>
      </c>
      <c r="AE175" s="100" t="s">
        <v>46</v>
      </c>
      <c r="AF175" s="100" t="s">
        <v>47</v>
      </c>
      <c r="AG175" s="99" t="s">
        <v>48</v>
      </c>
    </row>
    <row r="176" spans="1:33" ht="38.25" customHeight="1" x14ac:dyDescent="0.2">
      <c r="A176" s="114">
        <v>241.1</v>
      </c>
      <c r="B176" s="95">
        <f t="shared" si="9"/>
        <v>3</v>
      </c>
      <c r="C176" s="117" t="s">
        <v>624</v>
      </c>
      <c r="D176" s="96" t="str">
        <f t="shared" si="7"/>
        <v xml:space="preserve">                  Reactor Crane</v>
      </c>
      <c r="E176" s="96" t="s">
        <v>35</v>
      </c>
      <c r="F176" s="96" t="s">
        <v>596</v>
      </c>
      <c r="G176" s="97">
        <v>1</v>
      </c>
      <c r="H176" s="96"/>
      <c r="I176" s="103"/>
      <c r="J176" s="102">
        <v>2738000</v>
      </c>
      <c r="K176" s="102"/>
      <c r="L176" s="108"/>
      <c r="M176" s="118"/>
      <c r="N176" s="108"/>
      <c r="O176" s="108"/>
      <c r="P176" s="105"/>
      <c r="Q176" s="105">
        <v>2023</v>
      </c>
      <c r="R176" s="108" t="s">
        <v>86</v>
      </c>
      <c r="S176" s="118" t="s">
        <v>620</v>
      </c>
      <c r="T176" s="108"/>
      <c r="U176" s="108"/>
      <c r="V176" s="108" t="s">
        <v>623</v>
      </c>
      <c r="W176" s="99" t="s">
        <v>43</v>
      </c>
      <c r="X176" s="109">
        <v>2190000</v>
      </c>
      <c r="Y176" s="109">
        <v>3285000</v>
      </c>
      <c r="Z176" s="99" t="s">
        <v>44</v>
      </c>
      <c r="AA176" s="100">
        <f>0.8*K176</f>
        <v>0</v>
      </c>
      <c r="AB176" s="100">
        <f>2*K176</f>
        <v>0</v>
      </c>
      <c r="AC176" s="99" t="s">
        <v>44</v>
      </c>
      <c r="AD176" s="100" t="s">
        <v>45</v>
      </c>
      <c r="AE176" s="100" t="s">
        <v>46</v>
      </c>
      <c r="AF176" s="100" t="s">
        <v>47</v>
      </c>
      <c r="AG176" s="99" t="s">
        <v>48</v>
      </c>
    </row>
    <row r="177" spans="1:33" ht="38.25" customHeight="1" x14ac:dyDescent="0.2">
      <c r="A177" s="114">
        <v>241.1</v>
      </c>
      <c r="B177" s="95">
        <f t="shared" si="9"/>
        <v>3</v>
      </c>
      <c r="C177" s="117" t="s">
        <v>631</v>
      </c>
      <c r="D177" s="96" t="str">
        <f t="shared" si="7"/>
        <v xml:space="preserve">                  Decontamination System</v>
      </c>
      <c r="E177" s="96" t="s">
        <v>35</v>
      </c>
      <c r="F177" s="96" t="s">
        <v>596</v>
      </c>
      <c r="G177" s="97">
        <v>1</v>
      </c>
      <c r="H177" s="96"/>
      <c r="I177" s="103"/>
      <c r="J177" s="102"/>
      <c r="K177" s="102"/>
      <c r="L177" s="108"/>
      <c r="M177" s="118"/>
      <c r="N177" s="108"/>
      <c r="O177" s="108"/>
      <c r="P177" s="105"/>
      <c r="Q177" s="105"/>
      <c r="R177" s="108"/>
      <c r="S177" s="118"/>
      <c r="T177" s="108"/>
      <c r="U177" s="108"/>
      <c r="V177" s="108"/>
      <c r="W177" s="99" t="s">
        <v>43</v>
      </c>
      <c r="X177" s="109">
        <f>0.8*$I177</f>
        <v>0</v>
      </c>
      <c r="Y177" s="109">
        <f>2*J177</f>
        <v>0</v>
      </c>
      <c r="Z177" s="99" t="s">
        <v>44</v>
      </c>
      <c r="AA177" s="100">
        <f>0.8*K177</f>
        <v>0</v>
      </c>
      <c r="AB177" s="100">
        <f>2*K177</f>
        <v>0</v>
      </c>
      <c r="AC177" s="99" t="s">
        <v>44</v>
      </c>
      <c r="AD177" s="100" t="s">
        <v>45</v>
      </c>
      <c r="AE177" s="100" t="s">
        <v>46</v>
      </c>
      <c r="AF177" s="100" t="s">
        <v>47</v>
      </c>
      <c r="AG177" s="99" t="s">
        <v>48</v>
      </c>
    </row>
    <row r="178" spans="1:33" ht="38.25" customHeight="1" x14ac:dyDescent="0.2">
      <c r="A178" s="114">
        <v>241.1</v>
      </c>
      <c r="B178" s="95">
        <f t="shared" si="9"/>
        <v>3</v>
      </c>
      <c r="C178" s="117" t="s">
        <v>670</v>
      </c>
      <c r="D178" s="96" t="str">
        <f t="shared" si="7"/>
        <v xml:space="preserve">                  Fueling Hot Cell Shielding</v>
      </c>
      <c r="E178" s="96" t="s">
        <v>35</v>
      </c>
      <c r="F178" s="96" t="s">
        <v>596</v>
      </c>
      <c r="G178" s="97">
        <v>1</v>
      </c>
      <c r="H178" s="96"/>
      <c r="I178" s="103"/>
      <c r="J178" s="102"/>
      <c r="K178" s="102"/>
      <c r="L178" s="108"/>
      <c r="M178" s="118"/>
      <c r="N178" s="108"/>
      <c r="O178" s="108"/>
      <c r="P178" s="105"/>
      <c r="Q178" s="105"/>
      <c r="R178" s="108"/>
      <c r="S178" s="118"/>
      <c r="T178" s="108"/>
      <c r="U178" s="108"/>
      <c r="V178" s="108"/>
      <c r="W178" s="99" t="s">
        <v>43</v>
      </c>
      <c r="X178" s="109">
        <f>0.9*$J178</f>
        <v>0</v>
      </c>
      <c r="Y178" s="109">
        <f>1.5*J178</f>
        <v>0</v>
      </c>
      <c r="Z178" s="99" t="s">
        <v>44</v>
      </c>
      <c r="AA178" s="100">
        <f>0.9*K178</f>
        <v>0</v>
      </c>
      <c r="AB178" s="100">
        <f>1.3*K178</f>
        <v>0</v>
      </c>
      <c r="AC178" s="99" t="s">
        <v>44</v>
      </c>
      <c r="AD178" s="100" t="s">
        <v>45</v>
      </c>
      <c r="AE178" s="100" t="s">
        <v>46</v>
      </c>
      <c r="AF178" s="100" t="s">
        <v>47</v>
      </c>
      <c r="AG178" s="99" t="s">
        <v>48</v>
      </c>
    </row>
    <row r="179" spans="1:33" x14ac:dyDescent="0.2">
      <c r="A179" s="93">
        <v>242</v>
      </c>
      <c r="B179" s="95">
        <f t="shared" si="9"/>
        <v>2</v>
      </c>
      <c r="C179" s="117" t="s">
        <v>671</v>
      </c>
      <c r="D179" s="96" t="str">
        <f t="shared" si="7"/>
        <v xml:space="preserve">            New Reactor Testing Equipment</v>
      </c>
      <c r="E179" s="96"/>
      <c r="F179" s="96"/>
      <c r="G179" s="97"/>
      <c r="H179" s="96"/>
      <c r="I179" s="103"/>
      <c r="J179" s="102"/>
      <c r="K179" s="102"/>
      <c r="L179" s="108"/>
      <c r="M179" s="118"/>
      <c r="N179" s="108"/>
      <c r="O179" s="108"/>
      <c r="P179" s="105"/>
      <c r="Q179" s="105"/>
      <c r="R179" s="108"/>
      <c r="S179" s="118"/>
      <c r="T179" s="108"/>
      <c r="U179" s="108"/>
      <c r="V179" s="108"/>
      <c r="W179" s="99"/>
      <c r="X179" s="109"/>
      <c r="Y179" s="109"/>
      <c r="Z179" s="99"/>
      <c r="AA179" s="100"/>
      <c r="AB179" s="100"/>
      <c r="AC179" s="99"/>
      <c r="AD179" s="100"/>
      <c r="AE179" s="100"/>
      <c r="AF179" s="100"/>
      <c r="AG179" s="99"/>
    </row>
    <row r="180" spans="1:33" ht="38.25" customHeight="1" x14ac:dyDescent="0.2">
      <c r="A180" s="93">
        <v>242.1</v>
      </c>
      <c r="B180" s="95">
        <f t="shared" si="9"/>
        <v>3</v>
      </c>
      <c r="C180" s="117" t="s">
        <v>634</v>
      </c>
      <c r="D180" s="96" t="str">
        <f t="shared" ref="D180:D243" si="14">REPT("   ", B180*2) &amp; C180</f>
        <v xml:space="preserve">                  Handling Robot</v>
      </c>
      <c r="E180" s="96" t="s">
        <v>35</v>
      </c>
      <c r="F180" s="96" t="s">
        <v>598</v>
      </c>
      <c r="G180" s="97">
        <v>6</v>
      </c>
      <c r="H180" s="96"/>
      <c r="I180" s="103"/>
      <c r="J180" s="102">
        <v>232000</v>
      </c>
      <c r="K180" s="102"/>
      <c r="L180" s="108"/>
      <c r="M180" s="118"/>
      <c r="N180" s="108"/>
      <c r="O180" s="108"/>
      <c r="P180" s="105"/>
      <c r="Q180" s="105">
        <v>2023</v>
      </c>
      <c r="R180" s="108" t="s">
        <v>86</v>
      </c>
      <c r="S180" s="118" t="s">
        <v>620</v>
      </c>
      <c r="T180" s="108"/>
      <c r="U180" s="108"/>
      <c r="V180" s="108" t="s">
        <v>621</v>
      </c>
      <c r="W180" s="99" t="s">
        <v>43</v>
      </c>
      <c r="X180" s="109">
        <v>116000</v>
      </c>
      <c r="Y180" s="109">
        <v>348000</v>
      </c>
      <c r="Z180" s="99" t="s">
        <v>44</v>
      </c>
      <c r="AA180" s="100">
        <f>0.8*K180</f>
        <v>0</v>
      </c>
      <c r="AB180" s="100">
        <f>2*K180</f>
        <v>0</v>
      </c>
      <c r="AC180" s="99" t="s">
        <v>44</v>
      </c>
      <c r="AD180" s="100" t="s">
        <v>45</v>
      </c>
      <c r="AE180" s="100" t="s">
        <v>46</v>
      </c>
      <c r="AF180" s="100" t="s">
        <v>47</v>
      </c>
      <c r="AG180" s="99" t="s">
        <v>48</v>
      </c>
    </row>
    <row r="181" spans="1:33" ht="38.25" customHeight="1" x14ac:dyDescent="0.2">
      <c r="A181" s="93">
        <v>242.1</v>
      </c>
      <c r="B181" s="95">
        <f t="shared" si="9"/>
        <v>3</v>
      </c>
      <c r="C181" s="117" t="s">
        <v>625</v>
      </c>
      <c r="D181" s="96" t="str">
        <f t="shared" si="14"/>
        <v xml:space="preserve">                  Operating Platform</v>
      </c>
      <c r="E181" s="96" t="s">
        <v>35</v>
      </c>
      <c r="F181" s="96" t="s">
        <v>598</v>
      </c>
      <c r="G181" s="97">
        <v>1</v>
      </c>
      <c r="H181" s="96"/>
      <c r="I181" s="103"/>
      <c r="J181" s="102"/>
      <c r="K181" s="102"/>
      <c r="L181" s="108"/>
      <c r="M181" s="118"/>
      <c r="N181" s="108"/>
      <c r="O181" s="108"/>
      <c r="P181" s="105"/>
      <c r="Q181" s="105"/>
      <c r="R181" s="108"/>
      <c r="S181" s="118"/>
      <c r="T181" s="108"/>
      <c r="U181" s="108"/>
      <c r="V181" s="118"/>
      <c r="W181" s="99" t="s">
        <v>43</v>
      </c>
      <c r="X181" s="109">
        <f>0.8*$I181</f>
        <v>0</v>
      </c>
      <c r="Y181" s="109">
        <f>2*J181</f>
        <v>0</v>
      </c>
      <c r="Z181" s="99" t="s">
        <v>44</v>
      </c>
      <c r="AA181" s="100">
        <f>0.8*K181</f>
        <v>0</v>
      </c>
      <c r="AB181" s="100">
        <f>2*K181</f>
        <v>0</v>
      </c>
      <c r="AC181" s="99" t="s">
        <v>44</v>
      </c>
      <c r="AD181" s="100" t="s">
        <v>45</v>
      </c>
      <c r="AE181" s="100" t="s">
        <v>46</v>
      </c>
      <c r="AF181" s="100" t="s">
        <v>47</v>
      </c>
      <c r="AG181" s="99" t="s">
        <v>48</v>
      </c>
    </row>
    <row r="182" spans="1:33" ht="38.25" customHeight="1" x14ac:dyDescent="0.2">
      <c r="A182" s="93">
        <v>242.1</v>
      </c>
      <c r="B182" s="95">
        <f t="shared" si="9"/>
        <v>3</v>
      </c>
      <c r="C182" s="117" t="s">
        <v>635</v>
      </c>
      <c r="D182" s="96" t="str">
        <f t="shared" si="14"/>
        <v xml:space="preserve">                  Primary Heat Transport System</v>
      </c>
      <c r="E182" s="96" t="s">
        <v>35</v>
      </c>
      <c r="F182" s="96" t="s">
        <v>598</v>
      </c>
      <c r="G182" s="97">
        <v>1</v>
      </c>
      <c r="H182" s="96"/>
      <c r="I182" s="103"/>
      <c r="J182" s="102"/>
      <c r="K182" s="102"/>
      <c r="L182" s="108"/>
      <c r="M182" s="118"/>
      <c r="N182" s="108"/>
      <c r="O182" s="108"/>
      <c r="P182" s="105"/>
      <c r="Q182" s="105"/>
      <c r="R182" s="108"/>
      <c r="S182" s="118"/>
      <c r="T182" s="108"/>
      <c r="U182" s="108"/>
      <c r="V182" s="108" t="s">
        <v>636</v>
      </c>
      <c r="W182" s="99" t="s">
        <v>43</v>
      </c>
      <c r="X182" s="109">
        <f>0.8*$I182</f>
        <v>0</v>
      </c>
      <c r="Y182" s="109">
        <f>2*J182</f>
        <v>0</v>
      </c>
      <c r="Z182" s="99" t="s">
        <v>44</v>
      </c>
      <c r="AA182" s="100">
        <f>0.8*K182</f>
        <v>0</v>
      </c>
      <c r="AB182" s="100">
        <f>2*K182</f>
        <v>0</v>
      </c>
      <c r="AC182" s="99" t="s">
        <v>44</v>
      </c>
      <c r="AD182" s="100" t="s">
        <v>45</v>
      </c>
      <c r="AE182" s="100" t="s">
        <v>46</v>
      </c>
      <c r="AF182" s="100" t="s">
        <v>47</v>
      </c>
      <c r="AG182" s="99" t="s">
        <v>48</v>
      </c>
    </row>
    <row r="183" spans="1:33" ht="38.25" customHeight="1" x14ac:dyDescent="0.2">
      <c r="A183" s="93">
        <v>242.1</v>
      </c>
      <c r="B183" s="95">
        <f t="shared" si="9"/>
        <v>3</v>
      </c>
      <c r="C183" s="117" t="s">
        <v>631</v>
      </c>
      <c r="D183" s="96" t="str">
        <f t="shared" si="14"/>
        <v xml:space="preserve">                  Decontamination System</v>
      </c>
      <c r="E183" s="96" t="s">
        <v>35</v>
      </c>
      <c r="F183" s="96" t="s">
        <v>598</v>
      </c>
      <c r="G183" s="97">
        <v>1</v>
      </c>
      <c r="H183" s="96"/>
      <c r="I183" s="103"/>
      <c r="J183" s="102"/>
      <c r="K183" s="102"/>
      <c r="L183" s="108"/>
      <c r="M183" s="118"/>
      <c r="N183" s="108"/>
      <c r="O183" s="108"/>
      <c r="P183" s="105"/>
      <c r="Q183" s="105"/>
      <c r="R183" s="108"/>
      <c r="S183" s="118"/>
      <c r="T183" s="108"/>
      <c r="U183" s="108"/>
      <c r="V183" s="108"/>
      <c r="W183" s="99" t="s">
        <v>43</v>
      </c>
      <c r="X183" s="109">
        <f>0.8*$I183</f>
        <v>0</v>
      </c>
      <c r="Y183" s="109">
        <f>2*J183</f>
        <v>0</v>
      </c>
      <c r="Z183" s="99" t="s">
        <v>44</v>
      </c>
      <c r="AA183" s="100">
        <f>0.8*K183</f>
        <v>0</v>
      </c>
      <c r="AB183" s="100">
        <f>2*K183</f>
        <v>0</v>
      </c>
      <c r="AC183" s="99" t="s">
        <v>44</v>
      </c>
      <c r="AD183" s="100" t="s">
        <v>45</v>
      </c>
      <c r="AE183" s="100" t="s">
        <v>46</v>
      </c>
      <c r="AF183" s="100" t="s">
        <v>47</v>
      </c>
      <c r="AG183" s="99" t="s">
        <v>48</v>
      </c>
    </row>
    <row r="184" spans="1:33" ht="38.25" customHeight="1" x14ac:dyDescent="0.2">
      <c r="A184" s="93">
        <v>242.1</v>
      </c>
      <c r="B184" s="95">
        <f t="shared" si="9"/>
        <v>3</v>
      </c>
      <c r="C184" s="117" t="s">
        <v>637</v>
      </c>
      <c r="D184" s="96" t="str">
        <f t="shared" si="14"/>
        <v xml:space="preserve">                  Testing Hot Cell Shielding</v>
      </c>
      <c r="E184" s="96" t="s">
        <v>35</v>
      </c>
      <c r="F184" s="96" t="s">
        <v>598</v>
      </c>
      <c r="G184" s="97">
        <v>1</v>
      </c>
      <c r="H184" s="96"/>
      <c r="I184" s="103"/>
      <c r="J184" s="102"/>
      <c r="K184" s="102"/>
      <c r="L184" s="108"/>
      <c r="M184" s="118"/>
      <c r="N184" s="108"/>
      <c r="O184" s="108"/>
      <c r="P184" s="105"/>
      <c r="Q184" s="105"/>
      <c r="R184" s="108"/>
      <c r="S184" s="118"/>
      <c r="T184" s="108"/>
      <c r="U184" s="108"/>
      <c r="V184" s="108"/>
      <c r="W184" s="99" t="s">
        <v>43</v>
      </c>
      <c r="X184" s="109">
        <f>0.9*$J184</f>
        <v>0</v>
      </c>
      <c r="Y184" s="109">
        <f>1.5*J184</f>
        <v>0</v>
      </c>
      <c r="Z184" s="99" t="s">
        <v>44</v>
      </c>
      <c r="AA184" s="100">
        <f>0.9*K184</f>
        <v>0</v>
      </c>
      <c r="AB184" s="100">
        <f>1.3*K184</f>
        <v>0</v>
      </c>
      <c r="AC184" s="99" t="s">
        <v>44</v>
      </c>
      <c r="AD184" s="100" t="s">
        <v>45</v>
      </c>
      <c r="AE184" s="100" t="s">
        <v>46</v>
      </c>
      <c r="AF184" s="100" t="s">
        <v>47</v>
      </c>
      <c r="AG184" s="99" t="s">
        <v>48</v>
      </c>
    </row>
    <row r="185" spans="1:33" x14ac:dyDescent="0.2">
      <c r="A185" s="93">
        <v>243</v>
      </c>
      <c r="B185" s="95">
        <f t="shared" ref="B185" si="15">IF(ISNUMBER(A185),
IF(AND(A185=INT(A185), MOD(A185, 10) = 0), 0,
IF(AND(A185=INT(A185), LEN(A185)=2), 1,
IF(AND(A185=INT(A185), LEN(A185)=3), 2,
LEN(A185) - FIND(".", A185) + 2)
)
),
"")</f>
        <v>2</v>
      </c>
      <c r="C185" s="117" t="s">
        <v>672</v>
      </c>
      <c r="D185" s="96" t="str">
        <f t="shared" si="14"/>
        <v xml:space="preserve">            Fresh Fuel Management Equipment</v>
      </c>
      <c r="E185" s="96"/>
      <c r="F185" s="96"/>
      <c r="G185" s="97"/>
      <c r="H185" s="96"/>
      <c r="I185" s="103"/>
      <c r="J185" s="102"/>
      <c r="K185" s="102"/>
      <c r="L185" s="108"/>
      <c r="M185" s="118"/>
      <c r="N185" s="108"/>
      <c r="O185" s="108"/>
      <c r="P185" s="105"/>
      <c r="Q185" s="105"/>
      <c r="R185" s="108"/>
      <c r="S185" s="118"/>
      <c r="T185" s="108"/>
      <c r="U185" s="108"/>
      <c r="V185" s="108"/>
      <c r="W185" s="99"/>
      <c r="X185" s="109"/>
      <c r="Y185" s="109"/>
      <c r="Z185" s="99"/>
      <c r="AA185" s="100"/>
      <c r="AB185" s="100"/>
      <c r="AC185" s="99"/>
      <c r="AD185" s="100"/>
      <c r="AE185" s="100"/>
      <c r="AF185" s="100"/>
      <c r="AG185" s="99"/>
    </row>
    <row r="186" spans="1:33" ht="38.25" customHeight="1" x14ac:dyDescent="0.2">
      <c r="A186" s="93">
        <v>243.1</v>
      </c>
      <c r="B186" s="95">
        <f>IF(ISNUMBER(A186),
    IF(AND(A186=INT(A186), MOD(A186, 10) = 0), 0,
        IF(AND(A186=INT(A186), LEN(A186)=2), 1,
            IF(AND(A186=INT(A186), LEN(A186)=3), 2,
                LEN(A186) - FIND(".", A186) + 2)
        )
    ),
"")</f>
        <v>3</v>
      </c>
      <c r="C186" s="117" t="s">
        <v>622</v>
      </c>
      <c r="D186" s="96" t="str">
        <f t="shared" si="14"/>
        <v xml:space="preserve">                  Fuel Crane</v>
      </c>
      <c r="E186" s="96" t="s">
        <v>35</v>
      </c>
      <c r="F186" s="96" t="s">
        <v>596</v>
      </c>
      <c r="G186" s="97">
        <v>0.25</v>
      </c>
      <c r="H186" s="96"/>
      <c r="I186" s="103"/>
      <c r="J186" s="102"/>
      <c r="K186" s="102"/>
      <c r="L186" s="108"/>
      <c r="M186" s="118"/>
      <c r="N186" s="108"/>
      <c r="O186" s="108"/>
      <c r="P186" s="105"/>
      <c r="Q186" s="105"/>
      <c r="R186" s="108"/>
      <c r="S186" s="118"/>
      <c r="T186" s="108"/>
      <c r="U186" s="108"/>
      <c r="V186" s="108"/>
      <c r="W186" s="99" t="s">
        <v>43</v>
      </c>
      <c r="X186" s="109">
        <f>0.8*$I186</f>
        <v>0</v>
      </c>
      <c r="Y186" s="109">
        <f>2*J186</f>
        <v>0</v>
      </c>
      <c r="Z186" s="99" t="s">
        <v>44</v>
      </c>
      <c r="AA186" s="100">
        <f>0.8*K186</f>
        <v>0</v>
      </c>
      <c r="AB186" s="100">
        <f>2*K186</f>
        <v>0</v>
      </c>
      <c r="AC186" s="99" t="s">
        <v>44</v>
      </c>
      <c r="AD186" s="100" t="s">
        <v>45</v>
      </c>
      <c r="AE186" s="100" t="s">
        <v>46</v>
      </c>
      <c r="AF186" s="100" t="s">
        <v>47</v>
      </c>
      <c r="AG186" s="99" t="s">
        <v>48</v>
      </c>
    </row>
    <row r="187" spans="1:33" ht="38.25" customHeight="1" x14ac:dyDescent="0.2">
      <c r="A187" s="93">
        <v>243.1</v>
      </c>
      <c r="B187" s="95">
        <f t="shared" ref="B187:B207" si="16">IF(ISNUMBER(A187),
IF(AND(A187=INT(A187), MOD(A187, 10) = 0), 0,
IF(AND(A187=INT(A187), LEN(A187)=2), 1,
IF(AND(A187=INT(A187), LEN(A187)=3), 2,
LEN(A187) - FIND(".", A187) + 2)
)
),
"")</f>
        <v>3</v>
      </c>
      <c r="C187" s="117" t="s">
        <v>673</v>
      </c>
      <c r="D187" s="96" t="str">
        <f t="shared" si="14"/>
        <v xml:space="preserve">                  Fresh Fuel Inspection Equipment</v>
      </c>
      <c r="E187" s="96" t="s">
        <v>35</v>
      </c>
      <c r="F187" s="96" t="s">
        <v>596</v>
      </c>
      <c r="G187" s="97">
        <v>0.1</v>
      </c>
      <c r="H187" s="96"/>
      <c r="I187" s="103"/>
      <c r="J187" s="102"/>
      <c r="K187" s="102"/>
      <c r="L187" s="108"/>
      <c r="M187" s="118"/>
      <c r="N187" s="108"/>
      <c r="O187" s="108"/>
      <c r="P187" s="105"/>
      <c r="Q187" s="105"/>
      <c r="R187" s="108"/>
      <c r="S187" s="118"/>
      <c r="T187" s="108"/>
      <c r="U187" s="108"/>
      <c r="V187" s="108"/>
      <c r="W187" s="99" t="s">
        <v>43</v>
      </c>
      <c r="X187" s="109">
        <f>0.8*$I187</f>
        <v>0</v>
      </c>
      <c r="Y187" s="109">
        <f>2*J187</f>
        <v>0</v>
      </c>
      <c r="Z187" s="99" t="s">
        <v>44</v>
      </c>
      <c r="AA187" s="100">
        <f>0.8*K187</f>
        <v>0</v>
      </c>
      <c r="AB187" s="100">
        <f>2*K187</f>
        <v>0</v>
      </c>
      <c r="AC187" s="99" t="s">
        <v>44</v>
      </c>
      <c r="AD187" s="100" t="s">
        <v>45</v>
      </c>
      <c r="AE187" s="100" t="s">
        <v>46</v>
      </c>
      <c r="AF187" s="100" t="s">
        <v>47</v>
      </c>
      <c r="AG187" s="99" t="s">
        <v>48</v>
      </c>
    </row>
    <row r="188" spans="1:33" ht="38.25" customHeight="1" x14ac:dyDescent="0.2">
      <c r="A188" s="93">
        <v>243.1</v>
      </c>
      <c r="B188" s="95">
        <f t="shared" si="16"/>
        <v>3</v>
      </c>
      <c r="C188" s="117" t="s">
        <v>674</v>
      </c>
      <c r="D188" s="96" t="str">
        <f t="shared" si="14"/>
        <v xml:space="preserve">                  Fresh Fuel Cask Storage Racks</v>
      </c>
      <c r="E188" s="96" t="s">
        <v>35</v>
      </c>
      <c r="F188" s="96" t="s">
        <v>596</v>
      </c>
      <c r="G188" s="97">
        <v>0.25</v>
      </c>
      <c r="H188" s="96"/>
      <c r="I188" s="103"/>
      <c r="J188" s="102"/>
      <c r="K188" s="102"/>
      <c r="L188" s="108"/>
      <c r="M188" s="118"/>
      <c r="N188" s="108"/>
      <c r="O188" s="108"/>
      <c r="P188" s="105"/>
      <c r="Q188" s="105"/>
      <c r="R188" s="108"/>
      <c r="S188" s="118"/>
      <c r="T188" s="108"/>
      <c r="U188" s="108"/>
      <c r="V188" s="108"/>
      <c r="W188" s="99" t="s">
        <v>43</v>
      </c>
      <c r="X188" s="109">
        <f>0.8*$I188</f>
        <v>0</v>
      </c>
      <c r="Y188" s="109">
        <f>2*J188</f>
        <v>0</v>
      </c>
      <c r="Z188" s="99" t="s">
        <v>44</v>
      </c>
      <c r="AA188" s="100">
        <f>0.8*K188</f>
        <v>0</v>
      </c>
      <c r="AB188" s="100">
        <f>2*K188</f>
        <v>0</v>
      </c>
      <c r="AC188" s="99" t="s">
        <v>44</v>
      </c>
      <c r="AD188" s="100" t="s">
        <v>45</v>
      </c>
      <c r="AE188" s="100" t="s">
        <v>46</v>
      </c>
      <c r="AF188" s="100" t="s">
        <v>47</v>
      </c>
      <c r="AG188" s="99" t="s">
        <v>48</v>
      </c>
    </row>
    <row r="189" spans="1:33" x14ac:dyDescent="0.2">
      <c r="A189" s="93">
        <v>244</v>
      </c>
      <c r="B189" s="95">
        <f t="shared" si="16"/>
        <v>2</v>
      </c>
      <c r="C189" s="117" t="s">
        <v>638</v>
      </c>
      <c r="D189" s="96" t="str">
        <f t="shared" si="14"/>
        <v xml:space="preserve">            Auxiliary System</v>
      </c>
      <c r="E189" s="96"/>
      <c r="F189" s="96"/>
      <c r="G189" s="97"/>
      <c r="H189" s="96"/>
      <c r="I189" s="103"/>
      <c r="J189" s="102"/>
      <c r="K189" s="102"/>
      <c r="L189" s="108"/>
      <c r="M189" s="118"/>
      <c r="N189" s="108"/>
      <c r="O189" s="108"/>
      <c r="P189" s="105"/>
      <c r="Q189" s="105"/>
      <c r="R189" s="108"/>
      <c r="S189" s="118"/>
      <c r="T189" s="108"/>
      <c r="U189" s="108"/>
      <c r="V189" s="108"/>
      <c r="W189" s="99"/>
      <c r="X189" s="109"/>
      <c r="Y189" s="109"/>
      <c r="Z189" s="99"/>
      <c r="AA189" s="100"/>
      <c r="AB189" s="100"/>
      <c r="AC189" s="99"/>
      <c r="AD189" s="100"/>
      <c r="AE189" s="100"/>
      <c r="AF189" s="100"/>
      <c r="AG189" s="99"/>
    </row>
    <row r="190" spans="1:33" x14ac:dyDescent="0.2">
      <c r="A190" s="93">
        <v>244.1</v>
      </c>
      <c r="B190" s="95">
        <f t="shared" si="16"/>
        <v>3</v>
      </c>
      <c r="C190" s="117" t="s">
        <v>639</v>
      </c>
      <c r="D190" s="96" t="str">
        <f t="shared" si="14"/>
        <v xml:space="preserve">                  Fire Protection Equipment</v>
      </c>
      <c r="E190" s="96" t="s">
        <v>35</v>
      </c>
      <c r="F190" s="96" t="s">
        <v>565</v>
      </c>
      <c r="G190" s="97">
        <v>1</v>
      </c>
      <c r="H190" s="96"/>
      <c r="I190" s="103"/>
      <c r="J190" s="102"/>
      <c r="K190" s="102"/>
      <c r="L190" s="108"/>
      <c r="M190" s="118"/>
      <c r="N190" s="108"/>
      <c r="O190" s="108"/>
      <c r="P190" s="105"/>
      <c r="Q190" s="105"/>
      <c r="R190" s="108"/>
      <c r="S190" s="118"/>
      <c r="T190" s="108"/>
      <c r="U190" s="108"/>
      <c r="V190" s="108"/>
      <c r="W190" s="99" t="s">
        <v>43</v>
      </c>
      <c r="X190" s="109">
        <f>0.8*$I190</f>
        <v>0</v>
      </c>
      <c r="Y190" s="109">
        <f>2*J190</f>
        <v>0</v>
      </c>
      <c r="Z190" s="99" t="s">
        <v>44</v>
      </c>
      <c r="AA190" s="100">
        <f>0.8*K190</f>
        <v>0</v>
      </c>
      <c r="AB190" s="100">
        <f>2*K190</f>
        <v>0</v>
      </c>
      <c r="AC190" s="99" t="s">
        <v>44</v>
      </c>
      <c r="AD190" s="100" t="s">
        <v>45</v>
      </c>
      <c r="AE190" s="100" t="s">
        <v>46</v>
      </c>
      <c r="AF190" s="100" t="s">
        <v>47</v>
      </c>
      <c r="AG190" s="99" t="s">
        <v>48</v>
      </c>
    </row>
    <row r="191" spans="1:33" ht="25.5" customHeight="1" x14ac:dyDescent="0.2">
      <c r="A191" s="93">
        <v>244.2</v>
      </c>
      <c r="B191" s="95">
        <f t="shared" si="16"/>
        <v>3</v>
      </c>
      <c r="C191" s="117" t="s">
        <v>640</v>
      </c>
      <c r="D191" s="96" t="str">
        <f t="shared" si="14"/>
        <v xml:space="preserve">                  Service Water/Air/Steam System</v>
      </c>
      <c r="E191" s="96" t="s">
        <v>35</v>
      </c>
      <c r="F191" s="96" t="s">
        <v>565</v>
      </c>
      <c r="G191" s="97">
        <v>1</v>
      </c>
      <c r="H191" s="96"/>
      <c r="I191" s="103"/>
      <c r="J191" s="102"/>
      <c r="K191" s="102">
        <f>111284601/N191</f>
        <v>32567.925373134327</v>
      </c>
      <c r="L191" s="108"/>
      <c r="M191" s="118" t="s">
        <v>675</v>
      </c>
      <c r="N191" s="108">
        <v>3417</v>
      </c>
      <c r="O191" s="108" t="s">
        <v>100</v>
      </c>
      <c r="P191" s="105">
        <v>0.8</v>
      </c>
      <c r="Q191" s="105">
        <v>2018</v>
      </c>
      <c r="R191" s="108" t="s">
        <v>86</v>
      </c>
      <c r="S191" s="118" t="s">
        <v>189</v>
      </c>
      <c r="T191" s="108"/>
      <c r="U191" s="108"/>
      <c r="V191" s="108" t="s">
        <v>642</v>
      </c>
      <c r="W191" s="99" t="s">
        <v>43</v>
      </c>
      <c r="X191" s="109">
        <f>0.8*$I191</f>
        <v>0</v>
      </c>
      <c r="Y191" s="109">
        <f>2*J191</f>
        <v>0</v>
      </c>
      <c r="Z191" s="99" t="s">
        <v>44</v>
      </c>
      <c r="AA191" s="100">
        <f>0.8*K191</f>
        <v>26054.340298507464</v>
      </c>
      <c r="AB191" s="100">
        <f>2*K191</f>
        <v>65135.850746268654</v>
      </c>
      <c r="AC191" s="99" t="s">
        <v>44</v>
      </c>
      <c r="AD191" s="100" t="s">
        <v>45</v>
      </c>
      <c r="AE191" s="100" t="s">
        <v>46</v>
      </c>
      <c r="AF191" s="100" t="s">
        <v>47</v>
      </c>
      <c r="AG191" s="99" t="s">
        <v>48</v>
      </c>
    </row>
    <row r="192" spans="1:33" x14ac:dyDescent="0.2">
      <c r="A192" s="93">
        <v>244.3</v>
      </c>
      <c r="B192" s="95">
        <f t="shared" si="16"/>
        <v>3</v>
      </c>
      <c r="C192" s="117" t="s">
        <v>643</v>
      </c>
      <c r="D192" s="96" t="str">
        <f t="shared" si="14"/>
        <v xml:space="preserve">                  Radwaste Processing System</v>
      </c>
      <c r="E192" s="96"/>
      <c r="F192" s="96"/>
      <c r="G192" s="97"/>
      <c r="H192" s="96"/>
      <c r="I192" s="103"/>
      <c r="J192" s="102"/>
      <c r="K192" s="102"/>
      <c r="L192" s="108"/>
      <c r="M192" s="118"/>
      <c r="N192" s="108"/>
      <c r="O192" s="108"/>
      <c r="P192" s="105"/>
      <c r="Q192" s="105"/>
      <c r="R192" s="108"/>
      <c r="S192" s="118"/>
      <c r="T192" s="108"/>
      <c r="U192" s="108"/>
      <c r="V192" s="108"/>
      <c r="W192" s="99"/>
      <c r="X192" s="109"/>
      <c r="Y192" s="109"/>
      <c r="Z192" s="99"/>
      <c r="AA192" s="100"/>
      <c r="AB192" s="100"/>
      <c r="AC192" s="99"/>
      <c r="AD192" s="100"/>
      <c r="AE192" s="100"/>
      <c r="AF192" s="100"/>
      <c r="AG192" s="99"/>
    </row>
    <row r="193" spans="1:33" ht="25.5" customHeight="1" x14ac:dyDescent="0.2">
      <c r="A193" s="93">
        <v>244.31</v>
      </c>
      <c r="B193" s="95">
        <f t="shared" si="16"/>
        <v>4</v>
      </c>
      <c r="C193" s="117" t="s">
        <v>644</v>
      </c>
      <c r="D193" s="96" t="str">
        <f t="shared" si="14"/>
        <v xml:space="preserve">                        Gas Waste System</v>
      </c>
      <c r="E193" s="96" t="s">
        <v>35</v>
      </c>
      <c r="F193" s="96" t="s">
        <v>565</v>
      </c>
      <c r="G193" s="97">
        <v>1</v>
      </c>
      <c r="H193" s="96"/>
      <c r="I193" s="103"/>
      <c r="J193" s="102"/>
      <c r="K193" s="102">
        <f>3330589.8/N193</f>
        <v>974.71167690956975</v>
      </c>
      <c r="L193" s="108" t="s">
        <v>98</v>
      </c>
      <c r="M193" s="118" t="s">
        <v>675</v>
      </c>
      <c r="N193" s="108">
        <v>3417</v>
      </c>
      <c r="O193" s="108" t="s">
        <v>100</v>
      </c>
      <c r="P193" s="105">
        <v>0.8</v>
      </c>
      <c r="Q193" s="105">
        <v>2018</v>
      </c>
      <c r="R193" s="108" t="s">
        <v>86</v>
      </c>
      <c r="S193" s="118" t="s">
        <v>189</v>
      </c>
      <c r="T193" s="108"/>
      <c r="U193" s="108"/>
      <c r="V193" s="108"/>
      <c r="W193" s="99" t="s">
        <v>43</v>
      </c>
      <c r="X193" s="109">
        <f>0.8*$I193</f>
        <v>0</v>
      </c>
      <c r="Y193" s="109">
        <f>2*J193</f>
        <v>0</v>
      </c>
      <c r="Z193" s="99" t="s">
        <v>44</v>
      </c>
      <c r="AA193" s="100">
        <f>0.8*K193</f>
        <v>779.7693415276558</v>
      </c>
      <c r="AB193" s="100">
        <f>2*K193</f>
        <v>1949.4233538191395</v>
      </c>
      <c r="AC193" s="99" t="s">
        <v>44</v>
      </c>
      <c r="AD193" s="100" t="s">
        <v>45</v>
      </c>
      <c r="AE193" s="100" t="s">
        <v>46</v>
      </c>
      <c r="AF193" s="100" t="s">
        <v>47</v>
      </c>
      <c r="AG193" s="99" t="s">
        <v>48</v>
      </c>
    </row>
    <row r="194" spans="1:33" ht="25.5" customHeight="1" x14ac:dyDescent="0.2">
      <c r="A194" s="93">
        <v>244.32</v>
      </c>
      <c r="B194" s="95">
        <f t="shared" si="16"/>
        <v>4</v>
      </c>
      <c r="C194" s="117" t="s">
        <v>645</v>
      </c>
      <c r="D194" s="96" t="str">
        <f t="shared" si="14"/>
        <v xml:space="preserve">                        Liquid Waste System</v>
      </c>
      <c r="E194" s="96" t="s">
        <v>35</v>
      </c>
      <c r="F194" s="96" t="s">
        <v>565</v>
      </c>
      <c r="G194" s="97">
        <v>1</v>
      </c>
      <c r="H194" s="96"/>
      <c r="I194" s="103"/>
      <c r="J194" s="102"/>
      <c r="K194" s="102">
        <f>33058834.16/N194</f>
        <v>9674.8124553702073</v>
      </c>
      <c r="L194" s="108" t="s">
        <v>98</v>
      </c>
      <c r="M194" s="118" t="s">
        <v>675</v>
      </c>
      <c r="N194" s="108">
        <v>3417</v>
      </c>
      <c r="O194" s="108" t="s">
        <v>100</v>
      </c>
      <c r="P194" s="105">
        <v>0.8</v>
      </c>
      <c r="Q194" s="105">
        <v>2018</v>
      </c>
      <c r="R194" s="108" t="s">
        <v>86</v>
      </c>
      <c r="S194" s="118" t="s">
        <v>189</v>
      </c>
      <c r="T194" s="108"/>
      <c r="U194" s="108"/>
      <c r="V194" s="108"/>
      <c r="W194" s="99" t="s">
        <v>43</v>
      </c>
      <c r="X194" s="109">
        <f>0.8*$I194</f>
        <v>0</v>
      </c>
      <c r="Y194" s="109">
        <f>2*J194</f>
        <v>0</v>
      </c>
      <c r="Z194" s="99" t="s">
        <v>44</v>
      </c>
      <c r="AA194" s="100">
        <f>0.8*K194</f>
        <v>7739.849964296166</v>
      </c>
      <c r="AB194" s="100">
        <f>2*K194</f>
        <v>19349.624910740415</v>
      </c>
      <c r="AC194" s="99" t="s">
        <v>44</v>
      </c>
      <c r="AD194" s="100" t="s">
        <v>45</v>
      </c>
      <c r="AE194" s="100" t="s">
        <v>46</v>
      </c>
      <c r="AF194" s="100" t="s">
        <v>47</v>
      </c>
      <c r="AG194" s="99" t="s">
        <v>48</v>
      </c>
    </row>
    <row r="195" spans="1:33" ht="25.5" customHeight="1" x14ac:dyDescent="0.2">
      <c r="A195" s="93">
        <v>244.33</v>
      </c>
      <c r="B195" s="95">
        <f t="shared" si="16"/>
        <v>4</v>
      </c>
      <c r="C195" s="117" t="s">
        <v>646</v>
      </c>
      <c r="D195" s="96" t="str">
        <f t="shared" si="14"/>
        <v xml:space="preserve">                        Solid Waste System</v>
      </c>
      <c r="E195" s="96" t="s">
        <v>35</v>
      </c>
      <c r="F195" s="96" t="s">
        <v>565</v>
      </c>
      <c r="G195" s="97">
        <v>1</v>
      </c>
      <c r="H195" s="96"/>
      <c r="I195" s="103"/>
      <c r="J195" s="102"/>
      <c r="K195" s="102">
        <f>15805121.88/N195</f>
        <v>4625.438068481124</v>
      </c>
      <c r="L195" s="108" t="s">
        <v>98</v>
      </c>
      <c r="M195" s="118" t="s">
        <v>675</v>
      </c>
      <c r="N195" s="108">
        <v>3417</v>
      </c>
      <c r="O195" s="108" t="s">
        <v>100</v>
      </c>
      <c r="P195" s="105">
        <v>0.8</v>
      </c>
      <c r="Q195" s="105">
        <v>2018</v>
      </c>
      <c r="R195" s="108" t="s">
        <v>86</v>
      </c>
      <c r="S195" s="118" t="s">
        <v>189</v>
      </c>
      <c r="T195" s="108"/>
      <c r="U195" s="108"/>
      <c r="V195" s="108"/>
      <c r="W195" s="99" t="s">
        <v>43</v>
      </c>
      <c r="X195" s="109">
        <f>0.8*$I195</f>
        <v>0</v>
      </c>
      <c r="Y195" s="109">
        <f>2*J195</f>
        <v>0</v>
      </c>
      <c r="Z195" s="99" t="s">
        <v>44</v>
      </c>
      <c r="AA195" s="100">
        <f>0.8*K195</f>
        <v>3700.3504547848993</v>
      </c>
      <c r="AB195" s="100">
        <f>2*K195</f>
        <v>9250.876136962248</v>
      </c>
      <c r="AC195" s="99" t="s">
        <v>44</v>
      </c>
      <c r="AD195" s="100" t="s">
        <v>45</v>
      </c>
      <c r="AE195" s="100" t="s">
        <v>46</v>
      </c>
      <c r="AF195" s="100" t="s">
        <v>47</v>
      </c>
      <c r="AG195" s="99" t="s">
        <v>48</v>
      </c>
    </row>
    <row r="196" spans="1:33" ht="39" customHeight="1" x14ac:dyDescent="0.2">
      <c r="A196" s="93">
        <v>244.4</v>
      </c>
      <c r="B196" s="95">
        <f t="shared" si="16"/>
        <v>3</v>
      </c>
      <c r="C196" s="117" t="s">
        <v>647</v>
      </c>
      <c r="D196" s="96" t="str">
        <f t="shared" si="14"/>
        <v xml:space="preserve">                  Inert Gas System</v>
      </c>
      <c r="E196" s="96" t="s">
        <v>35</v>
      </c>
      <c r="F196" s="96" t="s">
        <v>565</v>
      </c>
      <c r="G196" s="97">
        <v>1</v>
      </c>
      <c r="H196" s="96"/>
      <c r="I196" s="103"/>
      <c r="J196" s="102"/>
      <c r="K196" s="102">
        <f>8275000/N196</f>
        <v>41.159063091397293</v>
      </c>
      <c r="L196" s="108" t="s">
        <v>80</v>
      </c>
      <c r="M196" s="118" t="s">
        <v>676</v>
      </c>
      <c r="N196" s="108">
        <v>201049.28</v>
      </c>
      <c r="O196" s="108" t="s">
        <v>82</v>
      </c>
      <c r="P196" s="105">
        <v>0.6</v>
      </c>
      <c r="Q196" s="105">
        <v>1978</v>
      </c>
      <c r="R196" s="108" t="s">
        <v>86</v>
      </c>
      <c r="S196" s="118"/>
      <c r="T196" s="108" t="s">
        <v>649</v>
      </c>
      <c r="U196" s="119" t="s">
        <v>650</v>
      </c>
      <c r="V196" s="108" t="s">
        <v>651</v>
      </c>
      <c r="W196" s="99" t="s">
        <v>43</v>
      </c>
      <c r="X196" s="109">
        <f>0.8*$I196</f>
        <v>0</v>
      </c>
      <c r="Y196" s="109">
        <f>2*J196</f>
        <v>0</v>
      </c>
      <c r="Z196" s="99" t="s">
        <v>44</v>
      </c>
      <c r="AA196" s="100">
        <f>0.8*K196</f>
        <v>32.927250473117837</v>
      </c>
      <c r="AB196" s="100">
        <f>2*K196</f>
        <v>82.318126182794586</v>
      </c>
      <c r="AC196" s="99" t="s">
        <v>44</v>
      </c>
      <c r="AD196" s="100" t="s">
        <v>45</v>
      </c>
      <c r="AE196" s="100" t="s">
        <v>46</v>
      </c>
      <c r="AF196" s="100" t="s">
        <v>47</v>
      </c>
      <c r="AG196" s="99" t="s">
        <v>48</v>
      </c>
    </row>
    <row r="197" spans="1:33" x14ac:dyDescent="0.2">
      <c r="A197" s="93">
        <v>249</v>
      </c>
      <c r="B197" s="95">
        <f t="shared" si="16"/>
        <v>2</v>
      </c>
      <c r="C197" s="117" t="s">
        <v>660</v>
      </c>
      <c r="D197" s="96" t="str">
        <f t="shared" si="14"/>
        <v xml:space="preserve">            Integrated Control System</v>
      </c>
      <c r="E197" s="96"/>
      <c r="F197" s="96"/>
      <c r="G197" s="97"/>
      <c r="H197" s="96"/>
      <c r="I197" s="103"/>
      <c r="J197" s="102"/>
      <c r="K197" s="102"/>
      <c r="L197" s="108"/>
      <c r="M197" s="118"/>
      <c r="N197" s="108"/>
      <c r="O197" s="108"/>
      <c r="P197" s="105"/>
      <c r="Q197" s="105"/>
      <c r="R197" s="108"/>
      <c r="S197" s="118"/>
      <c r="T197" s="108"/>
      <c r="U197" s="108"/>
      <c r="V197" s="108"/>
      <c r="W197" s="99"/>
      <c r="X197" s="109"/>
      <c r="Y197" s="109"/>
      <c r="Z197" s="99"/>
      <c r="AA197" s="100"/>
      <c r="AB197" s="100"/>
      <c r="AC197" s="99"/>
      <c r="AD197" s="100"/>
      <c r="AE197" s="100"/>
      <c r="AF197" s="100"/>
      <c r="AG197" s="99"/>
    </row>
    <row r="198" spans="1:33" x14ac:dyDescent="0.2">
      <c r="A198" s="93">
        <v>249.1</v>
      </c>
      <c r="B198" s="95">
        <f t="shared" si="16"/>
        <v>3</v>
      </c>
      <c r="C198" s="117" t="s">
        <v>661</v>
      </c>
      <c r="D198" s="96" t="str">
        <f t="shared" si="14"/>
        <v xml:space="preserve">                  Plant Control Systems</v>
      </c>
      <c r="E198" s="96" t="s">
        <v>35</v>
      </c>
      <c r="F198" s="96" t="s">
        <v>565</v>
      </c>
      <c r="G198" s="97">
        <v>1</v>
      </c>
      <c r="H198" s="96"/>
      <c r="I198" s="103"/>
      <c r="J198" s="102"/>
      <c r="K198" s="102"/>
      <c r="L198" s="108"/>
      <c r="M198" s="118"/>
      <c r="N198" s="108"/>
      <c r="O198" s="108"/>
      <c r="P198" s="105"/>
      <c r="Q198" s="105"/>
      <c r="R198" s="108"/>
      <c r="S198" s="118"/>
      <c r="T198" s="108"/>
      <c r="U198" s="108"/>
      <c r="V198" s="108"/>
      <c r="W198" s="99" t="s">
        <v>43</v>
      </c>
      <c r="X198" s="109">
        <f t="shared" ref="X198:X203" si="17">0.8*$I198</f>
        <v>0</v>
      </c>
      <c r="Y198" s="109">
        <f t="shared" ref="Y198:Y203" si="18">2*J198</f>
        <v>0</v>
      </c>
      <c r="Z198" s="99" t="s">
        <v>44</v>
      </c>
      <c r="AA198" s="100">
        <f t="shared" ref="AA198:AA203" si="19">0.8*K198</f>
        <v>0</v>
      </c>
      <c r="AB198" s="100">
        <f t="shared" ref="AB198:AB203" si="20">2*K198</f>
        <v>0</v>
      </c>
      <c r="AC198" s="99" t="s">
        <v>44</v>
      </c>
      <c r="AD198" s="100" t="s">
        <v>45</v>
      </c>
      <c r="AE198" s="100" t="s">
        <v>46</v>
      </c>
      <c r="AF198" s="100" t="s">
        <v>47</v>
      </c>
      <c r="AG198" s="99" t="s">
        <v>48</v>
      </c>
    </row>
    <row r="199" spans="1:33" x14ac:dyDescent="0.2">
      <c r="A199" s="93">
        <v>249.2</v>
      </c>
      <c r="B199" s="95">
        <f t="shared" si="16"/>
        <v>3</v>
      </c>
      <c r="C199" s="117" t="s">
        <v>662</v>
      </c>
      <c r="D199" s="96" t="str">
        <f t="shared" si="14"/>
        <v xml:space="preserve">                  Instrumentation and Controls</v>
      </c>
      <c r="E199" s="96" t="s">
        <v>35</v>
      </c>
      <c r="F199" s="96" t="s">
        <v>565</v>
      </c>
      <c r="G199" s="97">
        <v>1</v>
      </c>
      <c r="H199" s="96"/>
      <c r="I199" s="103"/>
      <c r="J199" s="102"/>
      <c r="K199" s="102"/>
      <c r="L199" s="108"/>
      <c r="M199" s="118"/>
      <c r="N199" s="108"/>
      <c r="O199" s="108"/>
      <c r="P199" s="105"/>
      <c r="Q199" s="105"/>
      <c r="R199" s="108"/>
      <c r="S199" s="118"/>
      <c r="T199" s="108"/>
      <c r="U199" s="108"/>
      <c r="V199" s="108"/>
      <c r="W199" s="99" t="s">
        <v>43</v>
      </c>
      <c r="X199" s="109">
        <f t="shared" si="17"/>
        <v>0</v>
      </c>
      <c r="Y199" s="109">
        <f t="shared" si="18"/>
        <v>0</v>
      </c>
      <c r="Z199" s="99" t="s">
        <v>44</v>
      </c>
      <c r="AA199" s="100">
        <f t="shared" si="19"/>
        <v>0</v>
      </c>
      <c r="AB199" s="100">
        <f t="shared" si="20"/>
        <v>0</v>
      </c>
      <c r="AC199" s="99" t="s">
        <v>44</v>
      </c>
      <c r="AD199" s="100" t="s">
        <v>45</v>
      </c>
      <c r="AE199" s="100" t="s">
        <v>46</v>
      </c>
      <c r="AF199" s="100" t="s">
        <v>47</v>
      </c>
      <c r="AG199" s="99" t="s">
        <v>48</v>
      </c>
    </row>
    <row r="200" spans="1:33" x14ac:dyDescent="0.2">
      <c r="A200" s="93">
        <v>249.3</v>
      </c>
      <c r="B200" s="95">
        <f t="shared" si="16"/>
        <v>3</v>
      </c>
      <c r="C200" s="117" t="s">
        <v>663</v>
      </c>
      <c r="D200" s="96" t="str">
        <f t="shared" si="14"/>
        <v xml:space="preserve">                  Process Computer</v>
      </c>
      <c r="E200" s="96" t="s">
        <v>35</v>
      </c>
      <c r="F200" s="96" t="s">
        <v>565</v>
      </c>
      <c r="G200" s="97">
        <v>1</v>
      </c>
      <c r="H200" s="96"/>
      <c r="I200" s="103"/>
      <c r="J200" s="102"/>
      <c r="K200" s="102"/>
      <c r="L200" s="108"/>
      <c r="M200" s="118"/>
      <c r="N200" s="108"/>
      <c r="O200" s="108"/>
      <c r="P200" s="105"/>
      <c r="Q200" s="105"/>
      <c r="R200" s="108"/>
      <c r="S200" s="118"/>
      <c r="T200" s="108"/>
      <c r="U200" s="108"/>
      <c r="V200" s="108"/>
      <c r="W200" s="99" t="s">
        <v>43</v>
      </c>
      <c r="X200" s="109">
        <f t="shared" si="17"/>
        <v>0</v>
      </c>
      <c r="Y200" s="109">
        <f t="shared" si="18"/>
        <v>0</v>
      </c>
      <c r="Z200" s="99" t="s">
        <v>44</v>
      </c>
      <c r="AA200" s="100">
        <f t="shared" si="19"/>
        <v>0</v>
      </c>
      <c r="AB200" s="100">
        <f t="shared" si="20"/>
        <v>0</v>
      </c>
      <c r="AC200" s="99" t="s">
        <v>44</v>
      </c>
      <c r="AD200" s="100" t="s">
        <v>45</v>
      </c>
      <c r="AE200" s="100" t="s">
        <v>46</v>
      </c>
      <c r="AF200" s="100" t="s">
        <v>47</v>
      </c>
      <c r="AG200" s="99" t="s">
        <v>48</v>
      </c>
    </row>
    <row r="201" spans="1:33" x14ac:dyDescent="0.2">
      <c r="A201" s="93">
        <v>249.4</v>
      </c>
      <c r="B201" s="95">
        <f t="shared" si="16"/>
        <v>3</v>
      </c>
      <c r="C201" s="117" t="s">
        <v>664</v>
      </c>
      <c r="D201" s="96" t="str">
        <f t="shared" si="14"/>
        <v xml:space="preserve">                  Alarm System</v>
      </c>
      <c r="E201" s="96" t="s">
        <v>35</v>
      </c>
      <c r="F201" s="96" t="s">
        <v>565</v>
      </c>
      <c r="G201" s="97">
        <v>1</v>
      </c>
      <c r="H201" s="96"/>
      <c r="I201" s="103"/>
      <c r="J201" s="102"/>
      <c r="K201" s="102"/>
      <c r="L201" s="108"/>
      <c r="M201" s="118"/>
      <c r="N201" s="108"/>
      <c r="O201" s="108"/>
      <c r="P201" s="105"/>
      <c r="Q201" s="105"/>
      <c r="R201" s="108"/>
      <c r="S201" s="118"/>
      <c r="T201" s="108"/>
      <c r="U201" s="108"/>
      <c r="V201" s="108"/>
      <c r="W201" s="99" t="s">
        <v>43</v>
      </c>
      <c r="X201" s="109">
        <f t="shared" si="17"/>
        <v>0</v>
      </c>
      <c r="Y201" s="109">
        <f t="shared" si="18"/>
        <v>0</v>
      </c>
      <c r="Z201" s="99" t="s">
        <v>44</v>
      </c>
      <c r="AA201" s="100">
        <f t="shared" si="19"/>
        <v>0</v>
      </c>
      <c r="AB201" s="100">
        <f t="shared" si="20"/>
        <v>0</v>
      </c>
      <c r="AC201" s="99" t="s">
        <v>44</v>
      </c>
      <c r="AD201" s="100" t="s">
        <v>45</v>
      </c>
      <c r="AE201" s="100" t="s">
        <v>46</v>
      </c>
      <c r="AF201" s="100" t="s">
        <v>47</v>
      </c>
      <c r="AG201" s="99" t="s">
        <v>48</v>
      </c>
    </row>
    <row r="202" spans="1:33" x14ac:dyDescent="0.2">
      <c r="A202" s="93">
        <v>249.5</v>
      </c>
      <c r="B202" s="95">
        <f t="shared" si="16"/>
        <v>3</v>
      </c>
      <c r="C202" s="117" t="s">
        <v>665</v>
      </c>
      <c r="D202" s="96" t="str">
        <f t="shared" si="14"/>
        <v xml:space="preserve">                  Monitoring System</v>
      </c>
      <c r="E202" s="96" t="s">
        <v>35</v>
      </c>
      <c r="F202" s="96" t="s">
        <v>565</v>
      </c>
      <c r="G202" s="97">
        <v>1</v>
      </c>
      <c r="H202" s="96"/>
      <c r="I202" s="103"/>
      <c r="J202" s="102"/>
      <c r="K202" s="102"/>
      <c r="L202" s="108"/>
      <c r="M202" s="118"/>
      <c r="N202" s="108"/>
      <c r="O202" s="108"/>
      <c r="P202" s="105"/>
      <c r="Q202" s="105"/>
      <c r="R202" s="108"/>
      <c r="S202" s="118"/>
      <c r="T202" s="108"/>
      <c r="U202" s="108"/>
      <c r="V202" s="108"/>
      <c r="W202" s="99" t="s">
        <v>43</v>
      </c>
      <c r="X202" s="109">
        <f t="shared" si="17"/>
        <v>0</v>
      </c>
      <c r="Y202" s="109">
        <f t="shared" si="18"/>
        <v>0</v>
      </c>
      <c r="Z202" s="99" t="s">
        <v>44</v>
      </c>
      <c r="AA202" s="100">
        <f t="shared" si="19"/>
        <v>0</v>
      </c>
      <c r="AB202" s="100">
        <f t="shared" si="20"/>
        <v>0</v>
      </c>
      <c r="AC202" s="99" t="s">
        <v>44</v>
      </c>
      <c r="AD202" s="100" t="s">
        <v>45</v>
      </c>
      <c r="AE202" s="100" t="s">
        <v>46</v>
      </c>
      <c r="AF202" s="100" t="s">
        <v>47</v>
      </c>
      <c r="AG202" s="99" t="s">
        <v>48</v>
      </c>
    </row>
    <row r="203" spans="1:33" x14ac:dyDescent="0.2">
      <c r="A203" s="93">
        <v>249.6</v>
      </c>
      <c r="B203" s="95">
        <f t="shared" si="16"/>
        <v>3</v>
      </c>
      <c r="C203" s="117" t="s">
        <v>666</v>
      </c>
      <c r="D203" s="96" t="str">
        <f t="shared" si="14"/>
        <v xml:space="preserve">                  Communication System</v>
      </c>
      <c r="E203" s="96" t="s">
        <v>35</v>
      </c>
      <c r="F203" s="96" t="s">
        <v>565</v>
      </c>
      <c r="G203" s="97">
        <v>1</v>
      </c>
      <c r="H203" s="96"/>
      <c r="I203" s="103"/>
      <c r="J203" s="102"/>
      <c r="K203" s="102"/>
      <c r="L203" s="108"/>
      <c r="M203" s="118"/>
      <c r="N203" s="108"/>
      <c r="O203" s="108"/>
      <c r="P203" s="105"/>
      <c r="Q203" s="105"/>
      <c r="R203" s="108"/>
      <c r="S203" s="118"/>
      <c r="T203" s="108"/>
      <c r="U203" s="108"/>
      <c r="V203" s="108"/>
      <c r="W203" s="99" t="s">
        <v>43</v>
      </c>
      <c r="X203" s="109">
        <f t="shared" si="17"/>
        <v>0</v>
      </c>
      <c r="Y203" s="109">
        <f t="shared" si="18"/>
        <v>0</v>
      </c>
      <c r="Z203" s="99" t="s">
        <v>44</v>
      </c>
      <c r="AA203" s="100">
        <f t="shared" si="19"/>
        <v>0</v>
      </c>
      <c r="AB203" s="100">
        <f t="shared" si="20"/>
        <v>0</v>
      </c>
      <c r="AC203" s="99" t="s">
        <v>44</v>
      </c>
      <c r="AD203" s="100" t="s">
        <v>45</v>
      </c>
      <c r="AE203" s="100" t="s">
        <v>46</v>
      </c>
      <c r="AF203" s="100" t="s">
        <v>47</v>
      </c>
      <c r="AG203" s="99" t="s">
        <v>48</v>
      </c>
    </row>
    <row r="204" spans="1:33" ht="25.5" customHeight="1" x14ac:dyDescent="0.2">
      <c r="A204" s="93">
        <v>25</v>
      </c>
      <c r="B204" s="95">
        <f t="shared" si="16"/>
        <v>1</v>
      </c>
      <c r="C204" s="117" t="s">
        <v>677</v>
      </c>
      <c r="D204" s="96" t="str">
        <f t="shared" si="14"/>
        <v xml:space="preserve">      Radioactive Waste Management Facility Equipment</v>
      </c>
      <c r="E204" s="96"/>
      <c r="F204" s="96"/>
      <c r="G204" s="97"/>
      <c r="H204" s="96"/>
      <c r="I204" s="103"/>
      <c r="J204" s="102"/>
      <c r="K204" s="102"/>
      <c r="L204" s="108"/>
      <c r="M204" s="118"/>
      <c r="N204" s="108"/>
      <c r="O204" s="108"/>
      <c r="P204" s="105"/>
      <c r="Q204" s="105"/>
      <c r="R204" s="108"/>
      <c r="S204" s="118"/>
      <c r="T204" s="108"/>
      <c r="U204" s="108"/>
      <c r="V204" s="108"/>
      <c r="W204" s="99"/>
      <c r="X204" s="109"/>
      <c r="Y204" s="109"/>
      <c r="Z204" s="99"/>
      <c r="AA204" s="100"/>
      <c r="AB204" s="100"/>
      <c r="AC204" s="99"/>
      <c r="AD204" s="100"/>
      <c r="AE204" s="100"/>
      <c r="AF204" s="100"/>
      <c r="AG204" s="99"/>
    </row>
    <row r="205" spans="1:33" ht="38.25" customHeight="1" x14ac:dyDescent="0.2">
      <c r="A205" s="93">
        <v>251</v>
      </c>
      <c r="B205" s="95">
        <f t="shared" si="16"/>
        <v>2</v>
      </c>
      <c r="C205" s="117" t="s">
        <v>644</v>
      </c>
      <c r="D205" s="96" t="str">
        <f t="shared" si="14"/>
        <v xml:space="preserve">            Gas Waste System</v>
      </c>
      <c r="E205" s="96" t="s">
        <v>35</v>
      </c>
      <c r="F205" s="96" t="s">
        <v>565</v>
      </c>
      <c r="G205" s="97">
        <v>1</v>
      </c>
      <c r="H205" s="96"/>
      <c r="I205" s="103"/>
      <c r="J205" s="102"/>
      <c r="K205" s="102">
        <f>3330589.8/N205</f>
        <v>974.71167690956975</v>
      </c>
      <c r="L205" s="108" t="s">
        <v>98</v>
      </c>
      <c r="M205" s="118" t="s">
        <v>678</v>
      </c>
      <c r="N205" s="108">
        <v>3417</v>
      </c>
      <c r="O205" s="108" t="s">
        <v>100</v>
      </c>
      <c r="P205" s="105">
        <v>0.8</v>
      </c>
      <c r="Q205" s="105">
        <v>2018</v>
      </c>
      <c r="R205" s="108" t="s">
        <v>86</v>
      </c>
      <c r="S205" s="118" t="s">
        <v>189</v>
      </c>
      <c r="T205" s="108"/>
      <c r="U205" s="108"/>
      <c r="V205" s="108"/>
      <c r="W205" s="99" t="s">
        <v>43</v>
      </c>
      <c r="X205" s="109">
        <f>0.8*$I205</f>
        <v>0</v>
      </c>
      <c r="Y205" s="109">
        <f>2*J205</f>
        <v>0</v>
      </c>
      <c r="Z205" s="99" t="s">
        <v>44</v>
      </c>
      <c r="AA205" s="100">
        <f>0.8*K205</f>
        <v>779.7693415276558</v>
      </c>
      <c r="AB205" s="100">
        <f>2*K205</f>
        <v>1949.4233538191395</v>
      </c>
      <c r="AC205" s="99" t="s">
        <v>44</v>
      </c>
      <c r="AD205" s="100" t="s">
        <v>45</v>
      </c>
      <c r="AE205" s="100" t="s">
        <v>46</v>
      </c>
      <c r="AF205" s="100" t="s">
        <v>47</v>
      </c>
      <c r="AG205" s="99" t="s">
        <v>48</v>
      </c>
    </row>
    <row r="206" spans="1:33" ht="38.25" customHeight="1" x14ac:dyDescent="0.2">
      <c r="A206" s="93">
        <v>252</v>
      </c>
      <c r="B206" s="95">
        <f t="shared" si="16"/>
        <v>2</v>
      </c>
      <c r="C206" s="117" t="s">
        <v>645</v>
      </c>
      <c r="D206" s="96" t="str">
        <f t="shared" si="14"/>
        <v xml:space="preserve">            Liquid Waste System</v>
      </c>
      <c r="E206" s="96" t="s">
        <v>35</v>
      </c>
      <c r="F206" s="96" t="s">
        <v>565</v>
      </c>
      <c r="G206" s="97">
        <v>1</v>
      </c>
      <c r="H206" s="96"/>
      <c r="I206" s="103"/>
      <c r="J206" s="102"/>
      <c r="K206" s="102">
        <f>33058834.16/N206</f>
        <v>9674.8124553702073</v>
      </c>
      <c r="L206" s="108" t="s">
        <v>98</v>
      </c>
      <c r="M206" s="118" t="s">
        <v>678</v>
      </c>
      <c r="N206" s="108">
        <v>3417</v>
      </c>
      <c r="O206" s="108" t="s">
        <v>100</v>
      </c>
      <c r="P206" s="105">
        <v>0.8</v>
      </c>
      <c r="Q206" s="105">
        <v>2018</v>
      </c>
      <c r="R206" s="108" t="s">
        <v>86</v>
      </c>
      <c r="S206" s="118" t="s">
        <v>189</v>
      </c>
      <c r="T206" s="108"/>
      <c r="U206" s="108"/>
      <c r="V206" s="108"/>
      <c r="W206" s="99" t="s">
        <v>43</v>
      </c>
      <c r="X206" s="109">
        <f>0.8*$I206</f>
        <v>0</v>
      </c>
      <c r="Y206" s="109">
        <f>2*J206</f>
        <v>0</v>
      </c>
      <c r="Z206" s="99" t="s">
        <v>44</v>
      </c>
      <c r="AA206" s="100">
        <f>0.8*K206</f>
        <v>7739.849964296166</v>
      </c>
      <c r="AB206" s="100">
        <f>2*K206</f>
        <v>19349.624910740415</v>
      </c>
      <c r="AC206" s="99" t="s">
        <v>44</v>
      </c>
      <c r="AD206" s="100" t="s">
        <v>45</v>
      </c>
      <c r="AE206" s="100" t="s">
        <v>46</v>
      </c>
      <c r="AF206" s="100" t="s">
        <v>47</v>
      </c>
      <c r="AG206" s="99" t="s">
        <v>48</v>
      </c>
    </row>
    <row r="207" spans="1:33" ht="38.25" customHeight="1" x14ac:dyDescent="0.2">
      <c r="A207" s="93">
        <v>253</v>
      </c>
      <c r="B207" s="95">
        <f t="shared" si="16"/>
        <v>2</v>
      </c>
      <c r="C207" s="117" t="s">
        <v>646</v>
      </c>
      <c r="D207" s="96" t="str">
        <f t="shared" si="14"/>
        <v xml:space="preserve">            Solid Waste System</v>
      </c>
      <c r="E207" s="96" t="s">
        <v>35</v>
      </c>
      <c r="F207" s="96" t="s">
        <v>565</v>
      </c>
      <c r="G207" s="97">
        <v>1</v>
      </c>
      <c r="H207" s="96"/>
      <c r="I207" s="103"/>
      <c r="J207" s="102"/>
      <c r="K207" s="102">
        <f>15805121.88/N207</f>
        <v>4625.438068481124</v>
      </c>
      <c r="L207" s="108" t="s">
        <v>98</v>
      </c>
      <c r="M207" s="118" t="s">
        <v>678</v>
      </c>
      <c r="N207" s="108">
        <v>3417</v>
      </c>
      <c r="O207" s="108" t="s">
        <v>100</v>
      </c>
      <c r="P207" s="105">
        <v>0.8</v>
      </c>
      <c r="Q207" s="105">
        <v>2018</v>
      </c>
      <c r="R207" s="108" t="s">
        <v>86</v>
      </c>
      <c r="S207" s="118" t="s">
        <v>189</v>
      </c>
      <c r="T207" s="108"/>
      <c r="U207" s="108"/>
      <c r="V207" s="108"/>
      <c r="W207" s="99" t="s">
        <v>43</v>
      </c>
      <c r="X207" s="109">
        <f>0.8*$I207</f>
        <v>0</v>
      </c>
      <c r="Y207" s="109">
        <f>2*J207</f>
        <v>0</v>
      </c>
      <c r="Z207" s="99" t="s">
        <v>44</v>
      </c>
      <c r="AA207" s="100">
        <f>0.8*K207</f>
        <v>3700.3504547848993</v>
      </c>
      <c r="AB207" s="100">
        <f>2*K207</f>
        <v>9250.876136962248</v>
      </c>
      <c r="AC207" s="99" t="s">
        <v>44</v>
      </c>
      <c r="AD207" s="100" t="s">
        <v>45</v>
      </c>
      <c r="AE207" s="100" t="s">
        <v>46</v>
      </c>
      <c r="AF207" s="100" t="s">
        <v>47</v>
      </c>
      <c r="AG207" s="99" t="s">
        <v>48</v>
      </c>
    </row>
    <row r="208" spans="1:33" x14ac:dyDescent="0.2">
      <c r="A208" s="114">
        <v>254</v>
      </c>
      <c r="B208" s="95">
        <f>IF(ISNUMBER(A208),
    IF(AND(A208=INT(A208), MOD(A208, 10) = 0), 0,
        IF(AND(A208=INT(A208), LEN(A208)=2), 1,
            IF(AND(A208=INT(A208), LEN(A208)=3), 2,
                LEN(A208) - FIND(".", A208) + 2)
        )
    ),
"")</f>
        <v>2</v>
      </c>
      <c r="C208" s="117" t="s">
        <v>638</v>
      </c>
      <c r="D208" s="96" t="str">
        <f t="shared" si="14"/>
        <v xml:space="preserve">            Auxiliary System</v>
      </c>
      <c r="E208" s="96"/>
      <c r="F208" s="96"/>
      <c r="G208" s="97"/>
      <c r="H208" s="96"/>
      <c r="I208" s="103"/>
      <c r="J208" s="102"/>
      <c r="K208" s="102"/>
      <c r="L208" s="108"/>
      <c r="M208" s="118"/>
      <c r="N208" s="108"/>
      <c r="O208" s="108"/>
      <c r="P208" s="105"/>
      <c r="Q208" s="105"/>
      <c r="R208" s="108"/>
      <c r="S208" s="118"/>
      <c r="T208" s="108"/>
      <c r="U208" s="108"/>
      <c r="V208" s="108"/>
      <c r="W208" s="99"/>
      <c r="X208" s="109"/>
      <c r="Y208" s="109"/>
      <c r="Z208" s="99"/>
      <c r="AA208" s="100"/>
      <c r="AB208" s="100"/>
      <c r="AC208" s="99"/>
      <c r="AD208" s="100"/>
      <c r="AE208" s="100"/>
      <c r="AF208" s="100"/>
      <c r="AG208" s="99"/>
    </row>
    <row r="209" spans="1:33" x14ac:dyDescent="0.2">
      <c r="A209" s="114">
        <v>254.1</v>
      </c>
      <c r="B209" s="95">
        <f>IF(ISNUMBER(A209),
    IF(AND(A209=INT(A209), MOD(A209, 10) = 0), 0,
        IF(AND(A209=INT(A209), LEN(A209)=2), 1,
            IF(AND(A209=INT(A209), LEN(A209)=3), 2,
                LEN(A209) - FIND(".", A209) + 2)
        )
    ),
"")</f>
        <v>3</v>
      </c>
      <c r="C209" s="117" t="s">
        <v>639</v>
      </c>
      <c r="D209" s="96" t="str">
        <f t="shared" si="14"/>
        <v xml:space="preserve">                  Fire Protection Equipment</v>
      </c>
      <c r="E209" s="96" t="s">
        <v>35</v>
      </c>
      <c r="F209" s="96" t="s">
        <v>565</v>
      </c>
      <c r="G209" s="97">
        <v>1</v>
      </c>
      <c r="H209" s="96"/>
      <c r="I209" s="103"/>
      <c r="J209" s="102"/>
      <c r="K209" s="102"/>
      <c r="L209" s="108"/>
      <c r="M209" s="118"/>
      <c r="N209" s="108"/>
      <c r="O209" s="108"/>
      <c r="P209" s="105"/>
      <c r="Q209" s="105"/>
      <c r="R209" s="108"/>
      <c r="S209" s="118"/>
      <c r="T209" s="108"/>
      <c r="U209" s="108"/>
      <c r="V209" s="108"/>
      <c r="W209" s="99" t="s">
        <v>43</v>
      </c>
      <c r="X209" s="109">
        <f>0.8*$I209</f>
        <v>0</v>
      </c>
      <c r="Y209" s="109">
        <f>2*J209</f>
        <v>0</v>
      </c>
      <c r="Z209" s="99" t="s">
        <v>44</v>
      </c>
      <c r="AA209" s="100">
        <f>0.8*K209</f>
        <v>0</v>
      </c>
      <c r="AB209" s="100">
        <f>2*K209</f>
        <v>0</v>
      </c>
      <c r="AC209" s="99" t="s">
        <v>44</v>
      </c>
      <c r="AD209" s="100" t="s">
        <v>45</v>
      </c>
      <c r="AE209" s="100" t="s">
        <v>46</v>
      </c>
      <c r="AF209" s="100" t="s">
        <v>47</v>
      </c>
      <c r="AG209" s="99" t="s">
        <v>48</v>
      </c>
    </row>
    <row r="210" spans="1:33" ht="38.25" customHeight="1" x14ac:dyDescent="0.2">
      <c r="A210" s="114">
        <v>254.2</v>
      </c>
      <c r="B210" s="95">
        <f t="shared" ref="B210:B226" si="21">IF(ISNUMBER(A210),
IF(AND(A210=INT(A210), MOD(A210, 10) = 0), 0,
IF(AND(A210=INT(A210), LEN(A210)=2), 1,
IF(AND(A210=INT(A210), LEN(A210)=3), 2,
LEN(A210) - FIND(".", A210) + 2)
)
),
"")</f>
        <v>3</v>
      </c>
      <c r="C210" s="117" t="s">
        <v>640</v>
      </c>
      <c r="D210" s="96" t="str">
        <f t="shared" si="14"/>
        <v xml:space="preserve">                  Service Water/Air/Steam System</v>
      </c>
      <c r="E210" s="96" t="s">
        <v>35</v>
      </c>
      <c r="F210" s="96" t="s">
        <v>565</v>
      </c>
      <c r="G210" s="97">
        <v>1</v>
      </c>
      <c r="H210" s="96"/>
      <c r="I210" s="103"/>
      <c r="J210" s="102"/>
      <c r="K210" s="102">
        <f>111284601/N210</f>
        <v>32567.925373134327</v>
      </c>
      <c r="L210" s="108"/>
      <c r="M210" s="118" t="s">
        <v>641</v>
      </c>
      <c r="N210" s="108">
        <v>3417</v>
      </c>
      <c r="O210" s="108" t="s">
        <v>100</v>
      </c>
      <c r="P210" s="105">
        <v>0.8</v>
      </c>
      <c r="Q210" s="105">
        <v>2018</v>
      </c>
      <c r="R210" s="108" t="s">
        <v>86</v>
      </c>
      <c r="S210" s="118" t="s">
        <v>189</v>
      </c>
      <c r="T210" s="108"/>
      <c r="U210" s="108"/>
      <c r="V210" s="108" t="s">
        <v>642</v>
      </c>
      <c r="W210" s="99" t="s">
        <v>43</v>
      </c>
      <c r="X210" s="109">
        <f>0.8*$I210</f>
        <v>0</v>
      </c>
      <c r="Y210" s="109">
        <f>2*J210</f>
        <v>0</v>
      </c>
      <c r="Z210" s="99" t="s">
        <v>44</v>
      </c>
      <c r="AA210" s="100">
        <f>0.8*K210</f>
        <v>26054.340298507464</v>
      </c>
      <c r="AB210" s="100">
        <f>2*K210</f>
        <v>65135.850746268654</v>
      </c>
      <c r="AC210" s="99" t="s">
        <v>44</v>
      </c>
      <c r="AD210" s="100" t="s">
        <v>45</v>
      </c>
      <c r="AE210" s="100" t="s">
        <v>46</v>
      </c>
      <c r="AF210" s="100" t="s">
        <v>47</v>
      </c>
      <c r="AG210" s="99" t="s">
        <v>48</v>
      </c>
    </row>
    <row r="211" spans="1:33" ht="39" customHeight="1" x14ac:dyDescent="0.2">
      <c r="A211" s="114">
        <v>254.3</v>
      </c>
      <c r="B211" s="95">
        <f t="shared" si="21"/>
        <v>3</v>
      </c>
      <c r="C211" s="117" t="s">
        <v>647</v>
      </c>
      <c r="D211" s="96" t="str">
        <f t="shared" si="14"/>
        <v xml:space="preserve">                  Inert Gas System</v>
      </c>
      <c r="E211" s="96" t="s">
        <v>35</v>
      </c>
      <c r="F211" s="96" t="s">
        <v>565</v>
      </c>
      <c r="G211" s="97">
        <v>1</v>
      </c>
      <c r="H211" s="96"/>
      <c r="I211" s="103"/>
      <c r="J211" s="102"/>
      <c r="K211" s="102">
        <f>8275000/N211</f>
        <v>41.159063091397293</v>
      </c>
      <c r="L211" s="108" t="s">
        <v>80</v>
      </c>
      <c r="M211" s="118" t="s">
        <v>605</v>
      </c>
      <c r="N211" s="108">
        <v>201049.28</v>
      </c>
      <c r="O211" s="108" t="s">
        <v>82</v>
      </c>
      <c r="P211" s="105">
        <v>0.6</v>
      </c>
      <c r="Q211" s="105">
        <v>1978</v>
      </c>
      <c r="R211" s="108" t="s">
        <v>86</v>
      </c>
      <c r="S211" s="118"/>
      <c r="T211" s="108" t="s">
        <v>649</v>
      </c>
      <c r="U211" s="119" t="s">
        <v>650</v>
      </c>
      <c r="V211" s="108" t="s">
        <v>651</v>
      </c>
      <c r="W211" s="99" t="s">
        <v>43</v>
      </c>
      <c r="X211" s="109">
        <f>0.8*$I211</f>
        <v>0</v>
      </c>
      <c r="Y211" s="109">
        <f>2*J211</f>
        <v>0</v>
      </c>
      <c r="Z211" s="99" t="s">
        <v>44</v>
      </c>
      <c r="AA211" s="100">
        <f>0.8*K211</f>
        <v>32.927250473117837</v>
      </c>
      <c r="AB211" s="100">
        <f>2*K211</f>
        <v>82.318126182794586</v>
      </c>
      <c r="AC211" s="99" t="s">
        <v>44</v>
      </c>
      <c r="AD211" s="100" t="s">
        <v>45</v>
      </c>
      <c r="AE211" s="100" t="s">
        <v>46</v>
      </c>
      <c r="AF211" s="100" t="s">
        <v>47</v>
      </c>
      <c r="AG211" s="99" t="s">
        <v>48</v>
      </c>
    </row>
    <row r="212" spans="1:33" ht="15" customHeight="1" x14ac:dyDescent="0.2">
      <c r="A212" s="114">
        <v>254.4</v>
      </c>
      <c r="B212" s="95">
        <f t="shared" si="21"/>
        <v>3</v>
      </c>
      <c r="C212" s="117" t="s">
        <v>631</v>
      </c>
      <c r="D212" s="96" t="str">
        <f t="shared" si="14"/>
        <v xml:space="preserve">                  Decontamination System</v>
      </c>
      <c r="E212" s="96" t="s">
        <v>35</v>
      </c>
      <c r="F212" s="96" t="s">
        <v>565</v>
      </c>
      <c r="G212" s="97">
        <v>1</v>
      </c>
      <c r="H212" s="96"/>
      <c r="I212" s="103"/>
      <c r="J212" s="102"/>
      <c r="K212" s="102"/>
      <c r="L212" s="108"/>
      <c r="M212" s="118"/>
      <c r="N212" s="108"/>
      <c r="O212" s="108"/>
      <c r="P212" s="105"/>
      <c r="Q212" s="105"/>
      <c r="R212" s="108"/>
      <c r="S212" s="118"/>
      <c r="T212" s="108"/>
      <c r="U212" s="119"/>
      <c r="V212" s="108"/>
      <c r="W212" s="99" t="s">
        <v>43</v>
      </c>
      <c r="X212" s="109">
        <f>0.8*$I212</f>
        <v>0</v>
      </c>
      <c r="Y212" s="109">
        <f>2*J212</f>
        <v>0</v>
      </c>
      <c r="Z212" s="99" t="s">
        <v>44</v>
      </c>
      <c r="AA212" s="100">
        <f>0.8*K212</f>
        <v>0</v>
      </c>
      <c r="AB212" s="100">
        <f>2*K212</f>
        <v>0</v>
      </c>
      <c r="AC212" s="99" t="s">
        <v>44</v>
      </c>
      <c r="AD212" s="100" t="s">
        <v>45</v>
      </c>
      <c r="AE212" s="100" t="s">
        <v>46</v>
      </c>
      <c r="AF212" s="100" t="s">
        <v>47</v>
      </c>
      <c r="AG212" s="99" t="s">
        <v>48</v>
      </c>
    </row>
    <row r="213" spans="1:33" ht="26.25" customHeight="1" x14ac:dyDescent="0.2">
      <c r="A213" s="93">
        <v>255</v>
      </c>
      <c r="B213" s="95">
        <f t="shared" si="21"/>
        <v>2</v>
      </c>
      <c r="C213" s="117" t="s">
        <v>679</v>
      </c>
      <c r="D213" s="96" t="str">
        <f t="shared" si="14"/>
        <v xml:space="preserve">            Radioactive Waste Cask Management Equipment</v>
      </c>
      <c r="E213" s="96"/>
      <c r="F213" s="96"/>
      <c r="G213" s="97"/>
      <c r="H213" s="96"/>
      <c r="I213" s="103"/>
      <c r="J213" s="102"/>
      <c r="K213" s="102"/>
      <c r="L213" s="108"/>
      <c r="M213" s="118"/>
      <c r="N213" s="108"/>
      <c r="O213" s="108"/>
      <c r="P213" s="105"/>
      <c r="Q213" s="105"/>
      <c r="R213" s="108"/>
      <c r="S213" s="118"/>
      <c r="T213" s="108"/>
      <c r="U213" s="119"/>
      <c r="V213" s="108"/>
      <c r="W213" s="99"/>
      <c r="X213" s="109"/>
      <c r="Y213" s="109"/>
      <c r="Z213" s="99"/>
      <c r="AA213" s="100"/>
      <c r="AB213" s="100"/>
      <c r="AC213" s="99"/>
      <c r="AD213" s="100"/>
      <c r="AE213" s="100"/>
      <c r="AF213" s="100"/>
      <c r="AG213" s="99"/>
    </row>
    <row r="214" spans="1:33" ht="26.25" customHeight="1" x14ac:dyDescent="0.2">
      <c r="A214" s="93">
        <v>255.1</v>
      </c>
      <c r="B214" s="95">
        <f t="shared" si="21"/>
        <v>3</v>
      </c>
      <c r="C214" s="117" t="s">
        <v>657</v>
      </c>
      <c r="D214" s="96" t="str">
        <f t="shared" si="14"/>
        <v xml:space="preserve">                  Cask Inspection Equipment</v>
      </c>
      <c r="E214" s="96" t="s">
        <v>35</v>
      </c>
      <c r="F214" s="96" t="s">
        <v>619</v>
      </c>
      <c r="G214" s="97">
        <v>1</v>
      </c>
      <c r="H214" s="96"/>
      <c r="I214" s="103"/>
      <c r="J214" s="102"/>
      <c r="K214" s="102"/>
      <c r="L214" s="108"/>
      <c r="M214" s="118"/>
      <c r="N214" s="108"/>
      <c r="O214" s="108"/>
      <c r="P214" s="105"/>
      <c r="Q214" s="105"/>
      <c r="R214" s="108"/>
      <c r="S214" s="118"/>
      <c r="T214" s="108"/>
      <c r="U214" s="119"/>
      <c r="V214" s="108"/>
      <c r="W214" s="99" t="s">
        <v>43</v>
      </c>
      <c r="X214" s="109">
        <f>0.8*$I214</f>
        <v>0</v>
      </c>
      <c r="Y214" s="109">
        <f>2*J214</f>
        <v>0</v>
      </c>
      <c r="Z214" s="99" t="s">
        <v>44</v>
      </c>
      <c r="AA214" s="100">
        <f>0.8*K214</f>
        <v>0</v>
      </c>
      <c r="AB214" s="100">
        <f>2*K214</f>
        <v>0</v>
      </c>
      <c r="AC214" s="99" t="s">
        <v>44</v>
      </c>
      <c r="AD214" s="100" t="s">
        <v>45</v>
      </c>
      <c r="AE214" s="100" t="s">
        <v>46</v>
      </c>
      <c r="AF214" s="100" t="s">
        <v>47</v>
      </c>
      <c r="AG214" s="99" t="s">
        <v>48</v>
      </c>
    </row>
    <row r="215" spans="1:33" ht="26.25" customHeight="1" x14ac:dyDescent="0.2">
      <c r="A215" s="93">
        <v>255.2</v>
      </c>
      <c r="B215" s="95">
        <f t="shared" si="21"/>
        <v>3</v>
      </c>
      <c r="C215" s="117" t="s">
        <v>658</v>
      </c>
      <c r="D215" s="96" t="str">
        <f t="shared" si="14"/>
        <v xml:space="preserve">                  Cask Transfer Crane</v>
      </c>
      <c r="E215" s="96" t="s">
        <v>35</v>
      </c>
      <c r="F215" s="96" t="s">
        <v>619</v>
      </c>
      <c r="G215" s="97">
        <v>0.1</v>
      </c>
      <c r="H215" s="96"/>
      <c r="I215" s="103"/>
      <c r="J215" s="102"/>
      <c r="K215" s="102"/>
      <c r="L215" s="108"/>
      <c r="M215" s="118"/>
      <c r="N215" s="108"/>
      <c r="O215" s="108"/>
      <c r="P215" s="105"/>
      <c r="Q215" s="105"/>
      <c r="R215" s="108"/>
      <c r="S215" s="118"/>
      <c r="T215" s="108"/>
      <c r="U215" s="119"/>
      <c r="V215" s="108"/>
      <c r="W215" s="99" t="s">
        <v>43</v>
      </c>
      <c r="X215" s="109">
        <f>0.8*$I215</f>
        <v>0</v>
      </c>
      <c r="Y215" s="109">
        <f>2*J215</f>
        <v>0</v>
      </c>
      <c r="Z215" s="99" t="s">
        <v>44</v>
      </c>
      <c r="AA215" s="100">
        <f>0.8*K215</f>
        <v>0</v>
      </c>
      <c r="AB215" s="100">
        <f>2*K215</f>
        <v>0</v>
      </c>
      <c r="AC215" s="99" t="s">
        <v>44</v>
      </c>
      <c r="AD215" s="100" t="s">
        <v>45</v>
      </c>
      <c r="AE215" s="100" t="s">
        <v>46</v>
      </c>
      <c r="AF215" s="100" t="s">
        <v>47</v>
      </c>
      <c r="AG215" s="99" t="s">
        <v>48</v>
      </c>
    </row>
    <row r="216" spans="1:33" ht="26.25" customHeight="1" x14ac:dyDescent="0.2">
      <c r="A216" s="93">
        <v>255.3</v>
      </c>
      <c r="B216" s="95">
        <f t="shared" si="21"/>
        <v>3</v>
      </c>
      <c r="C216" s="117" t="s">
        <v>659</v>
      </c>
      <c r="D216" s="96" t="str">
        <f t="shared" si="14"/>
        <v xml:space="preserve">                  Cask Storage Rack</v>
      </c>
      <c r="E216" s="96" t="s">
        <v>35</v>
      </c>
      <c r="F216" s="96" t="s">
        <v>619</v>
      </c>
      <c r="G216" s="97">
        <v>0.1</v>
      </c>
      <c r="H216" s="96"/>
      <c r="I216" s="103"/>
      <c r="J216" s="102"/>
      <c r="K216" s="102"/>
      <c r="L216" s="108"/>
      <c r="M216" s="118"/>
      <c r="N216" s="108"/>
      <c r="O216" s="108"/>
      <c r="P216" s="105"/>
      <c r="Q216" s="105"/>
      <c r="R216" s="108"/>
      <c r="S216" s="118"/>
      <c r="T216" s="108"/>
      <c r="U216" s="119"/>
      <c r="V216" s="108"/>
      <c r="W216" s="99" t="s">
        <v>43</v>
      </c>
      <c r="X216" s="109">
        <f>0.8*$I216</f>
        <v>0</v>
      </c>
      <c r="Y216" s="109">
        <f>2*J216</f>
        <v>0</v>
      </c>
      <c r="Z216" s="99" t="s">
        <v>44</v>
      </c>
      <c r="AA216" s="100">
        <f>0.8*K216</f>
        <v>0</v>
      </c>
      <c r="AB216" s="100">
        <f>2*K216</f>
        <v>0</v>
      </c>
      <c r="AC216" s="99" t="s">
        <v>44</v>
      </c>
      <c r="AD216" s="100" t="s">
        <v>45</v>
      </c>
      <c r="AE216" s="100" t="s">
        <v>46</v>
      </c>
      <c r="AF216" s="100" t="s">
        <v>47</v>
      </c>
      <c r="AG216" s="99" t="s">
        <v>48</v>
      </c>
    </row>
    <row r="217" spans="1:33" x14ac:dyDescent="0.2">
      <c r="A217" s="93">
        <v>259</v>
      </c>
      <c r="B217" s="95">
        <f t="shared" si="21"/>
        <v>2</v>
      </c>
      <c r="C217" s="117" t="s">
        <v>660</v>
      </c>
      <c r="D217" s="96" t="str">
        <f t="shared" si="14"/>
        <v xml:space="preserve">            Integrated Control System</v>
      </c>
      <c r="E217" s="96"/>
      <c r="F217" s="96"/>
      <c r="G217" s="97"/>
      <c r="H217" s="96"/>
      <c r="I217" s="103"/>
      <c r="J217" s="102"/>
      <c r="K217" s="102"/>
      <c r="L217" s="108"/>
      <c r="M217" s="118"/>
      <c r="N217" s="108"/>
      <c r="O217" s="108"/>
      <c r="P217" s="105"/>
      <c r="Q217" s="105"/>
      <c r="R217" s="108"/>
      <c r="S217" s="118"/>
      <c r="T217" s="108"/>
      <c r="U217" s="108"/>
      <c r="V217" s="108"/>
      <c r="W217" s="99"/>
      <c r="X217" s="109"/>
      <c r="Y217" s="109"/>
      <c r="Z217" s="99"/>
      <c r="AA217" s="100"/>
      <c r="AB217" s="100"/>
      <c r="AC217" s="99"/>
      <c r="AD217" s="100"/>
      <c r="AE217" s="100"/>
      <c r="AF217" s="100"/>
      <c r="AG217" s="99"/>
    </row>
    <row r="218" spans="1:33" x14ac:dyDescent="0.2">
      <c r="A218" s="93">
        <v>259.10000000000002</v>
      </c>
      <c r="B218" s="95">
        <f t="shared" si="21"/>
        <v>3</v>
      </c>
      <c r="C218" s="117" t="s">
        <v>661</v>
      </c>
      <c r="D218" s="96" t="str">
        <f t="shared" si="14"/>
        <v xml:space="preserve">                  Plant Control Systems</v>
      </c>
      <c r="E218" s="96" t="s">
        <v>35</v>
      </c>
      <c r="F218" s="96" t="s">
        <v>565</v>
      </c>
      <c r="G218" s="97">
        <v>1</v>
      </c>
      <c r="H218" s="96"/>
      <c r="I218" s="103"/>
      <c r="J218" s="102"/>
      <c r="K218" s="102"/>
      <c r="L218" s="108"/>
      <c r="M218" s="118"/>
      <c r="N218" s="108"/>
      <c r="O218" s="108"/>
      <c r="P218" s="105"/>
      <c r="Q218" s="105"/>
      <c r="R218" s="108"/>
      <c r="S218" s="118"/>
      <c r="T218" s="108"/>
      <c r="U218" s="108"/>
      <c r="V218" s="108"/>
      <c r="W218" s="99" t="s">
        <v>43</v>
      </c>
      <c r="X218" s="109">
        <f t="shared" ref="X218:X223" si="22">0.8*$I218</f>
        <v>0</v>
      </c>
      <c r="Y218" s="109">
        <f t="shared" ref="Y218:Y223" si="23">2*J218</f>
        <v>0</v>
      </c>
      <c r="Z218" s="99" t="s">
        <v>44</v>
      </c>
      <c r="AA218" s="100">
        <f t="shared" ref="AA218:AA223" si="24">0.8*K218</f>
        <v>0</v>
      </c>
      <c r="AB218" s="100">
        <f t="shared" ref="AB218:AB223" si="25">2*K218</f>
        <v>0</v>
      </c>
      <c r="AC218" s="99" t="s">
        <v>44</v>
      </c>
      <c r="AD218" s="100" t="s">
        <v>45</v>
      </c>
      <c r="AE218" s="100" t="s">
        <v>46</v>
      </c>
      <c r="AF218" s="100" t="s">
        <v>47</v>
      </c>
      <c r="AG218" s="99" t="s">
        <v>48</v>
      </c>
    </row>
    <row r="219" spans="1:33" x14ac:dyDescent="0.2">
      <c r="A219" s="93">
        <v>259.2</v>
      </c>
      <c r="B219" s="95">
        <f t="shared" si="21"/>
        <v>3</v>
      </c>
      <c r="C219" s="117" t="s">
        <v>662</v>
      </c>
      <c r="D219" s="96" t="str">
        <f t="shared" si="14"/>
        <v xml:space="preserve">                  Instrumentation and Controls</v>
      </c>
      <c r="E219" s="96" t="s">
        <v>35</v>
      </c>
      <c r="F219" s="96" t="s">
        <v>565</v>
      </c>
      <c r="G219" s="97">
        <v>1</v>
      </c>
      <c r="H219" s="96"/>
      <c r="I219" s="103"/>
      <c r="J219" s="102"/>
      <c r="K219" s="102"/>
      <c r="L219" s="108"/>
      <c r="M219" s="118"/>
      <c r="N219" s="108"/>
      <c r="O219" s="108"/>
      <c r="P219" s="105"/>
      <c r="Q219" s="105"/>
      <c r="R219" s="108"/>
      <c r="S219" s="118"/>
      <c r="T219" s="108"/>
      <c r="U219" s="108"/>
      <c r="V219" s="108"/>
      <c r="W219" s="99" t="s">
        <v>43</v>
      </c>
      <c r="X219" s="109">
        <f t="shared" si="22"/>
        <v>0</v>
      </c>
      <c r="Y219" s="109">
        <f t="shared" si="23"/>
        <v>0</v>
      </c>
      <c r="Z219" s="99" t="s">
        <v>44</v>
      </c>
      <c r="AA219" s="100">
        <f t="shared" si="24"/>
        <v>0</v>
      </c>
      <c r="AB219" s="100">
        <f t="shared" si="25"/>
        <v>0</v>
      </c>
      <c r="AC219" s="99" t="s">
        <v>44</v>
      </c>
      <c r="AD219" s="100" t="s">
        <v>45</v>
      </c>
      <c r="AE219" s="100" t="s">
        <v>46</v>
      </c>
      <c r="AF219" s="100" t="s">
        <v>47</v>
      </c>
      <c r="AG219" s="99" t="s">
        <v>48</v>
      </c>
    </row>
    <row r="220" spans="1:33" x14ac:dyDescent="0.2">
      <c r="A220" s="93">
        <v>259.3</v>
      </c>
      <c r="B220" s="95">
        <f t="shared" si="21"/>
        <v>3</v>
      </c>
      <c r="C220" s="117" t="s">
        <v>663</v>
      </c>
      <c r="D220" s="96" t="str">
        <f t="shared" si="14"/>
        <v xml:space="preserve">                  Process Computer</v>
      </c>
      <c r="E220" s="96" t="s">
        <v>35</v>
      </c>
      <c r="F220" s="96" t="s">
        <v>565</v>
      </c>
      <c r="G220" s="97">
        <v>1</v>
      </c>
      <c r="H220" s="96"/>
      <c r="I220" s="103"/>
      <c r="J220" s="102"/>
      <c r="K220" s="102"/>
      <c r="L220" s="108"/>
      <c r="M220" s="118"/>
      <c r="N220" s="108"/>
      <c r="O220" s="108"/>
      <c r="P220" s="105"/>
      <c r="Q220" s="105"/>
      <c r="R220" s="108"/>
      <c r="S220" s="118"/>
      <c r="T220" s="108"/>
      <c r="U220" s="108"/>
      <c r="V220" s="108"/>
      <c r="W220" s="99" t="s">
        <v>43</v>
      </c>
      <c r="X220" s="109">
        <f t="shared" si="22"/>
        <v>0</v>
      </c>
      <c r="Y220" s="109">
        <f t="shared" si="23"/>
        <v>0</v>
      </c>
      <c r="Z220" s="99" t="s">
        <v>44</v>
      </c>
      <c r="AA220" s="100">
        <f t="shared" si="24"/>
        <v>0</v>
      </c>
      <c r="AB220" s="100">
        <f t="shared" si="25"/>
        <v>0</v>
      </c>
      <c r="AC220" s="99" t="s">
        <v>44</v>
      </c>
      <c r="AD220" s="100" t="s">
        <v>45</v>
      </c>
      <c r="AE220" s="100" t="s">
        <v>46</v>
      </c>
      <c r="AF220" s="100" t="s">
        <v>47</v>
      </c>
      <c r="AG220" s="99" t="s">
        <v>48</v>
      </c>
    </row>
    <row r="221" spans="1:33" x14ac:dyDescent="0.2">
      <c r="A221" s="93">
        <v>259.39999999999998</v>
      </c>
      <c r="B221" s="95">
        <f t="shared" si="21"/>
        <v>3</v>
      </c>
      <c r="C221" s="117" t="s">
        <v>664</v>
      </c>
      <c r="D221" s="96" t="str">
        <f t="shared" si="14"/>
        <v xml:space="preserve">                  Alarm System</v>
      </c>
      <c r="E221" s="96" t="s">
        <v>35</v>
      </c>
      <c r="F221" s="96" t="s">
        <v>565</v>
      </c>
      <c r="G221" s="97">
        <v>1</v>
      </c>
      <c r="H221" s="96"/>
      <c r="I221" s="103"/>
      <c r="J221" s="102"/>
      <c r="K221" s="102"/>
      <c r="L221" s="108"/>
      <c r="M221" s="118"/>
      <c r="N221" s="108"/>
      <c r="O221" s="108"/>
      <c r="P221" s="105"/>
      <c r="Q221" s="105"/>
      <c r="R221" s="108"/>
      <c r="S221" s="118"/>
      <c r="T221" s="108"/>
      <c r="U221" s="108"/>
      <c r="V221" s="108"/>
      <c r="W221" s="99" t="s">
        <v>43</v>
      </c>
      <c r="X221" s="109">
        <f t="shared" si="22"/>
        <v>0</v>
      </c>
      <c r="Y221" s="109">
        <f t="shared" si="23"/>
        <v>0</v>
      </c>
      <c r="Z221" s="99" t="s">
        <v>44</v>
      </c>
      <c r="AA221" s="100">
        <f t="shared" si="24"/>
        <v>0</v>
      </c>
      <c r="AB221" s="100">
        <f t="shared" si="25"/>
        <v>0</v>
      </c>
      <c r="AC221" s="99" t="s">
        <v>44</v>
      </c>
      <c r="AD221" s="100" t="s">
        <v>45</v>
      </c>
      <c r="AE221" s="100" t="s">
        <v>46</v>
      </c>
      <c r="AF221" s="100" t="s">
        <v>47</v>
      </c>
      <c r="AG221" s="99" t="s">
        <v>48</v>
      </c>
    </row>
    <row r="222" spans="1:33" x14ac:dyDescent="0.2">
      <c r="A222" s="93">
        <v>259.5</v>
      </c>
      <c r="B222" s="95">
        <f t="shared" si="21"/>
        <v>3</v>
      </c>
      <c r="C222" s="117" t="s">
        <v>665</v>
      </c>
      <c r="D222" s="96" t="str">
        <f t="shared" si="14"/>
        <v xml:space="preserve">                  Monitoring System</v>
      </c>
      <c r="E222" s="96" t="s">
        <v>35</v>
      </c>
      <c r="F222" s="96" t="s">
        <v>565</v>
      </c>
      <c r="G222" s="97">
        <v>1</v>
      </c>
      <c r="H222" s="96"/>
      <c r="I222" s="103"/>
      <c r="J222" s="102"/>
      <c r="K222" s="102"/>
      <c r="L222" s="108"/>
      <c r="M222" s="118"/>
      <c r="N222" s="108"/>
      <c r="O222" s="108"/>
      <c r="P222" s="105"/>
      <c r="Q222" s="105"/>
      <c r="R222" s="108"/>
      <c r="S222" s="118"/>
      <c r="T222" s="108"/>
      <c r="U222" s="108"/>
      <c r="V222" s="108"/>
      <c r="W222" s="99" t="s">
        <v>43</v>
      </c>
      <c r="X222" s="109">
        <f t="shared" si="22"/>
        <v>0</v>
      </c>
      <c r="Y222" s="109">
        <f t="shared" si="23"/>
        <v>0</v>
      </c>
      <c r="Z222" s="99" t="s">
        <v>44</v>
      </c>
      <c r="AA222" s="100">
        <f t="shared" si="24"/>
        <v>0</v>
      </c>
      <c r="AB222" s="100">
        <f t="shared" si="25"/>
        <v>0</v>
      </c>
      <c r="AC222" s="99" t="s">
        <v>44</v>
      </c>
      <c r="AD222" s="100" t="s">
        <v>45</v>
      </c>
      <c r="AE222" s="100" t="s">
        <v>46</v>
      </c>
      <c r="AF222" s="100" t="s">
        <v>47</v>
      </c>
      <c r="AG222" s="99" t="s">
        <v>48</v>
      </c>
    </row>
    <row r="223" spans="1:33" x14ac:dyDescent="0.2">
      <c r="A223" s="93">
        <v>259.60000000000002</v>
      </c>
      <c r="B223" s="95">
        <f t="shared" si="21"/>
        <v>3</v>
      </c>
      <c r="C223" s="117" t="s">
        <v>666</v>
      </c>
      <c r="D223" s="96" t="str">
        <f t="shared" si="14"/>
        <v xml:space="preserve">                  Communication System</v>
      </c>
      <c r="E223" s="96" t="s">
        <v>35</v>
      </c>
      <c r="F223" s="96" t="s">
        <v>565</v>
      </c>
      <c r="G223" s="97">
        <v>1</v>
      </c>
      <c r="H223" s="96"/>
      <c r="I223" s="103"/>
      <c r="J223" s="102"/>
      <c r="K223" s="102"/>
      <c r="L223" s="108"/>
      <c r="M223" s="118"/>
      <c r="N223" s="108"/>
      <c r="O223" s="108"/>
      <c r="P223" s="105"/>
      <c r="Q223" s="105"/>
      <c r="R223" s="108"/>
      <c r="S223" s="118"/>
      <c r="T223" s="108"/>
      <c r="U223" s="108"/>
      <c r="V223" s="108"/>
      <c r="W223" s="99" t="s">
        <v>43</v>
      </c>
      <c r="X223" s="109">
        <f t="shared" si="22"/>
        <v>0</v>
      </c>
      <c r="Y223" s="109">
        <f t="shared" si="23"/>
        <v>0</v>
      </c>
      <c r="Z223" s="99" t="s">
        <v>44</v>
      </c>
      <c r="AA223" s="100">
        <f t="shared" si="24"/>
        <v>0</v>
      </c>
      <c r="AB223" s="100">
        <f t="shared" si="25"/>
        <v>0</v>
      </c>
      <c r="AC223" s="99" t="s">
        <v>44</v>
      </c>
      <c r="AD223" s="100" t="s">
        <v>45</v>
      </c>
      <c r="AE223" s="100" t="s">
        <v>46</v>
      </c>
      <c r="AF223" s="100" t="s">
        <v>47</v>
      </c>
      <c r="AG223" s="99" t="s">
        <v>48</v>
      </c>
    </row>
    <row r="224" spans="1:33" x14ac:dyDescent="0.2">
      <c r="A224" s="93">
        <v>26</v>
      </c>
      <c r="B224" s="95">
        <f t="shared" si="21"/>
        <v>1</v>
      </c>
      <c r="C224" s="117" t="s">
        <v>338</v>
      </c>
      <c r="D224" s="96" t="str">
        <f t="shared" si="14"/>
        <v xml:space="preserve">      Electrical Equipment</v>
      </c>
      <c r="E224" s="96"/>
      <c r="F224" s="96"/>
      <c r="G224" s="97"/>
      <c r="H224" s="96"/>
      <c r="I224" s="103"/>
      <c r="J224" s="102"/>
      <c r="K224" s="102"/>
      <c r="L224" s="108"/>
      <c r="M224" s="103"/>
      <c r="N224" s="108"/>
      <c r="O224" s="108"/>
      <c r="P224" s="105"/>
      <c r="Q224" s="105"/>
      <c r="R224" s="108"/>
      <c r="S224" s="118"/>
      <c r="T224" s="118"/>
      <c r="U224" s="108"/>
      <c r="V224" s="108"/>
      <c r="W224" s="99"/>
      <c r="X224" s="109"/>
      <c r="Y224" s="109"/>
      <c r="Z224" s="99"/>
      <c r="AA224" s="100"/>
      <c r="AB224" s="100"/>
      <c r="AC224" s="99"/>
      <c r="AD224" s="100"/>
      <c r="AE224" s="100"/>
      <c r="AF224" s="100"/>
      <c r="AG224" s="99"/>
    </row>
    <row r="225" spans="1:33" x14ac:dyDescent="0.2">
      <c r="A225" s="93">
        <v>261</v>
      </c>
      <c r="B225" s="95">
        <f t="shared" si="21"/>
        <v>2</v>
      </c>
      <c r="C225" s="118" t="s">
        <v>339</v>
      </c>
      <c r="D225" s="96" t="str">
        <f t="shared" si="14"/>
        <v xml:space="preserve">            Switchgear</v>
      </c>
      <c r="E225" s="96" t="s">
        <v>35</v>
      </c>
      <c r="F225" s="96" t="s">
        <v>565</v>
      </c>
      <c r="G225" s="97">
        <v>1</v>
      </c>
      <c r="H225" s="96"/>
      <c r="I225" s="103"/>
      <c r="J225" s="102"/>
      <c r="K225" s="102">
        <f>14424707.2061682/N225</f>
        <v>12609.009795601574</v>
      </c>
      <c r="L225" s="108" t="s">
        <v>50</v>
      </c>
      <c r="M225" s="103" t="s">
        <v>680</v>
      </c>
      <c r="N225" s="108">
        <v>1144</v>
      </c>
      <c r="O225" s="108" t="s">
        <v>52</v>
      </c>
      <c r="P225" s="105">
        <v>0.6</v>
      </c>
      <c r="Q225" s="105">
        <v>2018</v>
      </c>
      <c r="R225" s="108" t="s">
        <v>86</v>
      </c>
      <c r="S225" s="164" t="s">
        <v>340</v>
      </c>
      <c r="T225" s="164" t="s">
        <v>341</v>
      </c>
      <c r="U225" s="108"/>
      <c r="V225" s="108"/>
      <c r="W225" s="99" t="s">
        <v>43</v>
      </c>
      <c r="X225" s="109">
        <f t="shared" ref="X225:X230" si="26">0.9*$J225</f>
        <v>0</v>
      </c>
      <c r="Y225" s="109">
        <f t="shared" ref="Y225:Y230" si="27">1.5*J225</f>
        <v>0</v>
      </c>
      <c r="Z225" s="99"/>
      <c r="AA225" s="100">
        <f t="shared" ref="AA225:AA230" si="28">0.9*K225</f>
        <v>11348.108816041417</v>
      </c>
      <c r="AB225" s="100">
        <f t="shared" ref="AB225:AB230" si="29">1.3*K225</f>
        <v>16391.712734282046</v>
      </c>
      <c r="AC225" s="99"/>
      <c r="AD225" s="100"/>
      <c r="AE225" s="100"/>
      <c r="AF225" s="100"/>
      <c r="AG225" s="99"/>
    </row>
    <row r="226" spans="1:33" x14ac:dyDescent="0.2">
      <c r="A226" s="93">
        <v>262</v>
      </c>
      <c r="B226" s="95">
        <f t="shared" si="21"/>
        <v>2</v>
      </c>
      <c r="C226" s="118" t="s">
        <v>342</v>
      </c>
      <c r="D226" s="96" t="str">
        <f t="shared" si="14"/>
        <v xml:space="preserve">            Station Service Equipment</v>
      </c>
      <c r="E226" s="96" t="s">
        <v>35</v>
      </c>
      <c r="F226" s="96" t="s">
        <v>565</v>
      </c>
      <c r="G226" s="97">
        <v>1</v>
      </c>
      <c r="H226" s="96"/>
      <c r="I226" s="103"/>
      <c r="J226" s="102"/>
      <c r="K226" s="102">
        <f>11992641.3775456/N225</f>
        <v>10483.078127225175</v>
      </c>
      <c r="L226" s="108" t="s">
        <v>50</v>
      </c>
      <c r="M226" s="103" t="s">
        <v>680</v>
      </c>
      <c r="N226" s="108">
        <v>1144</v>
      </c>
      <c r="O226" s="108" t="s">
        <v>52</v>
      </c>
      <c r="P226" s="105">
        <v>0.6</v>
      </c>
      <c r="Q226" s="105">
        <v>2018</v>
      </c>
      <c r="R226" s="108" t="s">
        <v>86</v>
      </c>
      <c r="S226" s="161"/>
      <c r="T226" s="161"/>
      <c r="U226" s="108"/>
      <c r="V226" s="108"/>
      <c r="W226" s="99" t="s">
        <v>43</v>
      </c>
      <c r="X226" s="109">
        <f t="shared" si="26"/>
        <v>0</v>
      </c>
      <c r="Y226" s="109">
        <f t="shared" si="27"/>
        <v>0</v>
      </c>
      <c r="Z226" s="99"/>
      <c r="AA226" s="100">
        <f t="shared" si="28"/>
        <v>9434.7703145026571</v>
      </c>
      <c r="AB226" s="100">
        <f t="shared" si="29"/>
        <v>13628.001565392728</v>
      </c>
      <c r="AC226" s="99"/>
      <c r="AD226" s="100"/>
      <c r="AE226" s="100"/>
      <c r="AF226" s="100"/>
      <c r="AG226" s="99"/>
    </row>
    <row r="227" spans="1:33" x14ac:dyDescent="0.2">
      <c r="A227" s="93">
        <v>263</v>
      </c>
      <c r="B227" s="95">
        <f>IF(ISNUMBER(A227),
    IF(AND(A227=INT(A227), MOD(A227, 10) = 0), 0,
        IF(AND(A227=INT(A227), LEN(A227)=2), 1,
            IF(AND(A227=INT(A227), LEN(A227)=3), 2,
                LEN(A227) - FIND(".", A227) + 2)
        )
    ),
"")</f>
        <v>2</v>
      </c>
      <c r="C227" s="118" t="s">
        <v>343</v>
      </c>
      <c r="D227" s="96" t="str">
        <f t="shared" si="14"/>
        <v xml:space="preserve">            Switchboards</v>
      </c>
      <c r="E227" s="96" t="s">
        <v>35</v>
      </c>
      <c r="F227" s="96" t="s">
        <v>565</v>
      </c>
      <c r="G227" s="97">
        <v>1</v>
      </c>
      <c r="H227" s="96"/>
      <c r="I227" s="103"/>
      <c r="J227" s="102"/>
      <c r="K227" s="102">
        <f>14424707.2061682/N227</f>
        <v>12609.009795601574</v>
      </c>
      <c r="L227" s="108" t="s">
        <v>50</v>
      </c>
      <c r="M227" s="103" t="s">
        <v>680</v>
      </c>
      <c r="N227" s="108">
        <v>1144</v>
      </c>
      <c r="O227" s="108" t="s">
        <v>52</v>
      </c>
      <c r="P227" s="105">
        <v>0.6</v>
      </c>
      <c r="Q227" s="105">
        <v>2018</v>
      </c>
      <c r="R227" s="108" t="s">
        <v>86</v>
      </c>
      <c r="S227" s="161"/>
      <c r="T227" s="161"/>
      <c r="U227" s="108"/>
      <c r="V227" s="108"/>
      <c r="W227" s="99" t="s">
        <v>43</v>
      </c>
      <c r="X227" s="109">
        <f t="shared" si="26"/>
        <v>0</v>
      </c>
      <c r="Y227" s="109">
        <f t="shared" si="27"/>
        <v>0</v>
      </c>
      <c r="Z227" s="99"/>
      <c r="AA227" s="100">
        <f t="shared" si="28"/>
        <v>11348.108816041417</v>
      </c>
      <c r="AB227" s="100">
        <f t="shared" si="29"/>
        <v>16391.712734282046</v>
      </c>
      <c r="AC227" s="99"/>
      <c r="AD227" s="100"/>
      <c r="AE227" s="100"/>
      <c r="AF227" s="100"/>
      <c r="AG227" s="99"/>
    </row>
    <row r="228" spans="1:33" x14ac:dyDescent="0.2">
      <c r="A228" s="93">
        <v>264</v>
      </c>
      <c r="B228" s="95">
        <f t="shared" ref="B228:B240" si="30">IF(ISNUMBER(A228),
IF(AND(A228=INT(A228), MOD(A228, 10) = 0), 0,
IF(AND(A228=INT(A228), LEN(A228)=2), 1,
IF(AND(A228=INT(A228), LEN(A228)=3), 2,
LEN(A228) - FIND(".", A228) + 2)
)
),
"")</f>
        <v>2</v>
      </c>
      <c r="C228" s="118" t="s">
        <v>344</v>
      </c>
      <c r="D228" s="96" t="str">
        <f t="shared" si="14"/>
        <v xml:space="preserve">            Protective Equipment</v>
      </c>
      <c r="E228" s="96" t="s">
        <v>35</v>
      </c>
      <c r="F228" s="96" t="s">
        <v>565</v>
      </c>
      <c r="G228" s="97">
        <v>1</v>
      </c>
      <c r="H228" s="96"/>
      <c r="I228" s="103"/>
      <c r="J228" s="102"/>
      <c r="K228" s="102">
        <f>11992641.3775456/N227</f>
        <v>10483.078127225175</v>
      </c>
      <c r="L228" s="108" t="s">
        <v>50</v>
      </c>
      <c r="M228" s="103" t="s">
        <v>680</v>
      </c>
      <c r="N228" s="108">
        <v>1144</v>
      </c>
      <c r="O228" s="108" t="s">
        <v>52</v>
      </c>
      <c r="P228" s="105">
        <v>0.6</v>
      </c>
      <c r="Q228" s="105">
        <v>2018</v>
      </c>
      <c r="R228" s="108" t="s">
        <v>86</v>
      </c>
      <c r="S228" s="161"/>
      <c r="T228" s="161"/>
      <c r="U228" s="108"/>
      <c r="V228" s="108"/>
      <c r="W228" s="99" t="s">
        <v>43</v>
      </c>
      <c r="X228" s="109">
        <f t="shared" si="26"/>
        <v>0</v>
      </c>
      <c r="Y228" s="109">
        <f t="shared" si="27"/>
        <v>0</v>
      </c>
      <c r="Z228" s="99"/>
      <c r="AA228" s="100">
        <f t="shared" si="28"/>
        <v>9434.7703145026571</v>
      </c>
      <c r="AB228" s="100">
        <f t="shared" si="29"/>
        <v>13628.001565392728</v>
      </c>
      <c r="AC228" s="99"/>
      <c r="AD228" s="100"/>
      <c r="AE228" s="100"/>
      <c r="AF228" s="100"/>
      <c r="AG228" s="99"/>
    </row>
    <row r="229" spans="1:33" x14ac:dyDescent="0.2">
      <c r="A229" s="93">
        <v>265</v>
      </c>
      <c r="B229" s="95">
        <f t="shared" si="30"/>
        <v>2</v>
      </c>
      <c r="C229" s="118" t="s">
        <v>345</v>
      </c>
      <c r="D229" s="96" t="str">
        <f t="shared" si="14"/>
        <v xml:space="preserve">            Electrical Structure &amp; Wiring Container</v>
      </c>
      <c r="E229" s="96" t="s">
        <v>35</v>
      </c>
      <c r="F229" s="96" t="s">
        <v>565</v>
      </c>
      <c r="G229" s="97">
        <v>1</v>
      </c>
      <c r="H229" s="96"/>
      <c r="I229" s="96"/>
      <c r="J229" s="110"/>
      <c r="K229" s="102">
        <f>3894246.37400843/N227</f>
        <v>3404.0615157416346</v>
      </c>
      <c r="L229" s="108" t="s">
        <v>50</v>
      </c>
      <c r="M229" s="103" t="s">
        <v>680</v>
      </c>
      <c r="N229" s="108">
        <v>1144</v>
      </c>
      <c r="O229" s="108" t="s">
        <v>52</v>
      </c>
      <c r="P229" s="105">
        <v>0.6</v>
      </c>
      <c r="Q229" s="105">
        <v>2018</v>
      </c>
      <c r="R229" s="108" t="s">
        <v>86</v>
      </c>
      <c r="S229" s="161"/>
      <c r="T229" s="161"/>
      <c r="U229" s="108"/>
      <c r="V229" s="108"/>
      <c r="W229" s="99" t="s">
        <v>43</v>
      </c>
      <c r="X229" s="109">
        <f t="shared" si="26"/>
        <v>0</v>
      </c>
      <c r="Y229" s="109">
        <f t="shared" si="27"/>
        <v>0</v>
      </c>
      <c r="Z229" s="99"/>
      <c r="AA229" s="100">
        <f t="shared" si="28"/>
        <v>3063.6553641674714</v>
      </c>
      <c r="AB229" s="100">
        <f t="shared" si="29"/>
        <v>4425.2799704641247</v>
      </c>
      <c r="AC229" s="99"/>
      <c r="AD229" s="100"/>
      <c r="AE229" s="100"/>
      <c r="AF229" s="100"/>
      <c r="AG229" s="99"/>
    </row>
    <row r="230" spans="1:33" x14ac:dyDescent="0.2">
      <c r="A230" s="93">
        <v>266</v>
      </c>
      <c r="B230" s="95">
        <f t="shared" si="30"/>
        <v>2</v>
      </c>
      <c r="C230" s="118" t="s">
        <v>346</v>
      </c>
      <c r="D230" s="96" t="str">
        <f t="shared" si="14"/>
        <v xml:space="preserve">            Power &amp; Control Wiring</v>
      </c>
      <c r="E230" s="96" t="s">
        <v>35</v>
      </c>
      <c r="F230" s="96" t="s">
        <v>565</v>
      </c>
      <c r="G230" s="97">
        <v>1</v>
      </c>
      <c r="H230" s="96"/>
      <c r="I230" s="96"/>
      <c r="J230" s="110"/>
      <c r="K230" s="102">
        <f>11183911.9256997/N227</f>
        <v>9776.1467881990375</v>
      </c>
      <c r="L230" s="108" t="s">
        <v>50</v>
      </c>
      <c r="M230" s="103" t="s">
        <v>680</v>
      </c>
      <c r="N230" s="108">
        <v>1144</v>
      </c>
      <c r="O230" s="108" t="s">
        <v>52</v>
      </c>
      <c r="P230" s="105">
        <v>0.6</v>
      </c>
      <c r="Q230" s="105">
        <v>2018</v>
      </c>
      <c r="R230" s="108" t="s">
        <v>86</v>
      </c>
      <c r="S230" s="152"/>
      <c r="T230" s="152"/>
      <c r="U230" s="108"/>
      <c r="V230" s="108"/>
      <c r="W230" s="99" t="s">
        <v>43</v>
      </c>
      <c r="X230" s="109">
        <f t="shared" si="26"/>
        <v>0</v>
      </c>
      <c r="Y230" s="109">
        <f t="shared" si="27"/>
        <v>0</v>
      </c>
      <c r="Z230" s="99"/>
      <c r="AA230" s="100">
        <f t="shared" si="28"/>
        <v>8798.5321093791335</v>
      </c>
      <c r="AB230" s="100">
        <f t="shared" si="29"/>
        <v>12708.990824658749</v>
      </c>
      <c r="AC230" s="99"/>
      <c r="AD230" s="100"/>
      <c r="AE230" s="100"/>
      <c r="AF230" s="100"/>
      <c r="AG230" s="99"/>
    </row>
    <row r="231" spans="1:33" x14ac:dyDescent="0.2">
      <c r="A231" s="93">
        <v>27</v>
      </c>
      <c r="B231" s="95">
        <f t="shared" si="30"/>
        <v>1</v>
      </c>
      <c r="C231" s="118" t="s">
        <v>681</v>
      </c>
      <c r="D231" s="96" t="str">
        <f t="shared" si="14"/>
        <v xml:space="preserve">      Equipment to support Site Function</v>
      </c>
      <c r="E231" s="96"/>
      <c r="F231" s="96"/>
      <c r="G231" s="97"/>
      <c r="H231" s="96"/>
      <c r="I231" s="96"/>
      <c r="J231" s="110"/>
      <c r="K231" s="102"/>
      <c r="L231" s="108"/>
      <c r="M231" s="103"/>
      <c r="N231" s="108"/>
      <c r="O231" s="108"/>
      <c r="P231" s="105"/>
      <c r="Q231" s="105"/>
      <c r="R231" s="108"/>
      <c r="S231" s="118"/>
      <c r="T231" s="118"/>
      <c r="U231" s="108"/>
      <c r="V231" s="108"/>
      <c r="W231" s="99"/>
      <c r="X231" s="109"/>
      <c r="Y231" s="109"/>
      <c r="Z231" s="99"/>
      <c r="AA231" s="100"/>
      <c r="AB231" s="100"/>
      <c r="AC231" s="99"/>
      <c r="AD231" s="100"/>
      <c r="AE231" s="100"/>
      <c r="AF231" s="100"/>
      <c r="AG231" s="99"/>
    </row>
    <row r="232" spans="1:33" x14ac:dyDescent="0.2">
      <c r="A232" s="93">
        <v>271</v>
      </c>
      <c r="B232" s="95">
        <f t="shared" si="30"/>
        <v>2</v>
      </c>
      <c r="C232" s="118" t="s">
        <v>682</v>
      </c>
      <c r="D232" s="96" t="str">
        <f t="shared" si="14"/>
        <v xml:space="preserve">            Physical Security Systems</v>
      </c>
      <c r="E232" s="96" t="s">
        <v>35</v>
      </c>
      <c r="F232" s="96" t="s">
        <v>565</v>
      </c>
      <c r="G232" s="97">
        <v>1</v>
      </c>
      <c r="H232" s="96"/>
      <c r="I232" s="96"/>
      <c r="J232" s="110"/>
      <c r="K232" s="102"/>
      <c r="L232" s="108"/>
      <c r="M232" s="103"/>
      <c r="N232" s="108"/>
      <c r="O232" s="108"/>
      <c r="P232" s="105"/>
      <c r="Q232" s="105"/>
      <c r="R232" s="108"/>
      <c r="S232" s="118"/>
      <c r="T232" s="118"/>
      <c r="U232" s="108"/>
      <c r="V232" s="108"/>
      <c r="W232" s="99" t="s">
        <v>43</v>
      </c>
      <c r="X232" s="109">
        <f>0.9*$J232</f>
        <v>0</v>
      </c>
      <c r="Y232" s="109">
        <f>1.5*J232</f>
        <v>0</v>
      </c>
      <c r="Z232" s="99" t="s">
        <v>44</v>
      </c>
      <c r="AA232" s="100">
        <f>0.9*K232</f>
        <v>0</v>
      </c>
      <c r="AB232" s="100">
        <f>1.3*K232</f>
        <v>0</v>
      </c>
      <c r="AC232" s="99" t="s">
        <v>44</v>
      </c>
      <c r="AD232" s="100" t="s">
        <v>45</v>
      </c>
      <c r="AE232" s="100" t="s">
        <v>46</v>
      </c>
      <c r="AF232" s="100" t="s">
        <v>47</v>
      </c>
      <c r="AG232" s="99" t="s">
        <v>48</v>
      </c>
    </row>
    <row r="233" spans="1:33" x14ac:dyDescent="0.2">
      <c r="A233" s="93">
        <v>28</v>
      </c>
      <c r="B233" s="95">
        <f t="shared" si="30"/>
        <v>1</v>
      </c>
      <c r="C233" s="118" t="s">
        <v>683</v>
      </c>
      <c r="D233" s="96" t="str">
        <f t="shared" si="14"/>
        <v xml:space="preserve">      Transport Equipment</v>
      </c>
      <c r="E233" s="96"/>
      <c r="F233" s="96"/>
      <c r="G233" s="97"/>
      <c r="H233" s="96"/>
      <c r="I233" s="96"/>
      <c r="J233" s="110"/>
      <c r="K233" s="102"/>
      <c r="L233" s="108"/>
      <c r="M233" s="103"/>
      <c r="N233" s="108"/>
      <c r="O233" s="108"/>
      <c r="P233" s="105"/>
      <c r="Q233" s="105"/>
      <c r="R233" s="108"/>
      <c r="S233" s="118"/>
      <c r="T233" s="118"/>
      <c r="U233" s="108"/>
      <c r="V233" s="108"/>
      <c r="W233" s="99"/>
      <c r="X233" s="109"/>
      <c r="Y233" s="109"/>
      <c r="Z233" s="99"/>
      <c r="AA233" s="100"/>
      <c r="AB233" s="100"/>
      <c r="AC233" s="99"/>
      <c r="AD233" s="100"/>
      <c r="AE233" s="100"/>
      <c r="AF233" s="100"/>
      <c r="AG233" s="99"/>
    </row>
    <row r="234" spans="1:33" x14ac:dyDescent="0.2">
      <c r="A234" s="93">
        <v>281</v>
      </c>
      <c r="B234" s="95">
        <f t="shared" si="30"/>
        <v>2</v>
      </c>
      <c r="C234" s="118" t="s">
        <v>684</v>
      </c>
      <c r="D234" s="96" t="str">
        <f t="shared" si="14"/>
        <v xml:space="preserve">            Onsite Transport Equipment</v>
      </c>
      <c r="E234" s="96"/>
      <c r="F234" s="96"/>
      <c r="G234" s="97"/>
      <c r="H234" s="96"/>
      <c r="I234" s="96"/>
      <c r="J234" s="110"/>
      <c r="K234" s="102"/>
      <c r="L234" s="108"/>
      <c r="M234" s="103"/>
      <c r="N234" s="108"/>
      <c r="O234" s="108"/>
      <c r="P234" s="105"/>
      <c r="Q234" s="105"/>
      <c r="R234" s="108"/>
      <c r="S234" s="118"/>
      <c r="T234" s="118"/>
      <c r="U234" s="108"/>
      <c r="V234" s="108"/>
      <c r="W234" s="99"/>
      <c r="X234" s="109"/>
      <c r="Y234" s="109"/>
      <c r="Z234" s="99"/>
      <c r="AA234" s="100"/>
      <c r="AB234" s="100"/>
      <c r="AC234" s="99"/>
      <c r="AD234" s="100"/>
      <c r="AE234" s="100"/>
      <c r="AF234" s="100"/>
      <c r="AG234" s="99"/>
    </row>
    <row r="235" spans="1:33" ht="25.5" customHeight="1" x14ac:dyDescent="0.2">
      <c r="A235" s="93">
        <v>281.10000000000002</v>
      </c>
      <c r="B235" s="95">
        <f t="shared" si="30"/>
        <v>3</v>
      </c>
      <c r="C235" s="118" t="s">
        <v>685</v>
      </c>
      <c r="D235" s="96" t="str">
        <f t="shared" si="14"/>
        <v xml:space="preserve">                  Local Transport Vehicle</v>
      </c>
      <c r="E235" s="96" t="s">
        <v>35</v>
      </c>
      <c r="F235" s="96" t="s">
        <v>686</v>
      </c>
      <c r="G235" s="97">
        <v>1</v>
      </c>
      <c r="H235" s="96"/>
      <c r="I235" s="96"/>
      <c r="J235" s="110"/>
      <c r="K235" s="102"/>
      <c r="L235" s="108"/>
      <c r="M235" s="103"/>
      <c r="N235" s="108"/>
      <c r="O235" s="108"/>
      <c r="P235" s="105"/>
      <c r="Q235" s="105"/>
      <c r="R235" s="108"/>
      <c r="S235" s="118"/>
      <c r="T235" s="118"/>
      <c r="U235" s="108"/>
      <c r="V235" s="108"/>
      <c r="W235" s="99" t="s">
        <v>43</v>
      </c>
      <c r="X235" s="109">
        <f>0.9*$J235</f>
        <v>0</v>
      </c>
      <c r="Y235" s="109">
        <f>1.5*J235</f>
        <v>0</v>
      </c>
      <c r="Z235" s="99" t="s">
        <v>44</v>
      </c>
      <c r="AA235" s="100">
        <f>0.9*K235</f>
        <v>0</v>
      </c>
      <c r="AB235" s="100">
        <f>1.3*K235</f>
        <v>0</v>
      </c>
      <c r="AC235" s="99" t="s">
        <v>44</v>
      </c>
      <c r="AD235" s="100" t="s">
        <v>45</v>
      </c>
      <c r="AE235" s="100" t="s">
        <v>46</v>
      </c>
      <c r="AF235" s="100" t="s">
        <v>47</v>
      </c>
      <c r="AG235" s="99" t="s">
        <v>48</v>
      </c>
    </row>
    <row r="236" spans="1:33" x14ac:dyDescent="0.2">
      <c r="A236" s="93">
        <v>282</v>
      </c>
      <c r="B236" s="95">
        <f t="shared" si="30"/>
        <v>2</v>
      </c>
      <c r="C236" s="118" t="s">
        <v>687</v>
      </c>
      <c r="D236" s="96" t="str">
        <f t="shared" si="14"/>
        <v xml:space="preserve">            Off-site Transport Equipment</v>
      </c>
      <c r="E236" s="96"/>
      <c r="F236" s="96"/>
      <c r="G236" s="97"/>
      <c r="H236" s="96"/>
      <c r="I236" s="96"/>
      <c r="J236" s="110"/>
      <c r="K236" s="102"/>
      <c r="L236" s="108"/>
      <c r="M236" s="103"/>
      <c r="N236" s="108"/>
      <c r="O236" s="108"/>
      <c r="P236" s="105"/>
      <c r="Q236" s="105"/>
      <c r="R236" s="108"/>
      <c r="S236" s="118"/>
      <c r="T236" s="118"/>
      <c r="U236" s="108"/>
      <c r="V236" s="108"/>
      <c r="W236" s="99"/>
      <c r="X236" s="109"/>
      <c r="Y236" s="109"/>
      <c r="Z236" s="99"/>
      <c r="AA236" s="100"/>
      <c r="AB236" s="100"/>
      <c r="AC236" s="99"/>
      <c r="AD236" s="100"/>
      <c r="AE236" s="100"/>
      <c r="AF236" s="100"/>
      <c r="AG236" s="99"/>
    </row>
    <row r="237" spans="1:33" ht="38.25" customHeight="1" x14ac:dyDescent="0.2">
      <c r="A237" s="93">
        <v>282.10000000000002</v>
      </c>
      <c r="B237" s="95">
        <f t="shared" si="30"/>
        <v>3</v>
      </c>
      <c r="C237" s="118" t="s">
        <v>688</v>
      </c>
      <c r="D237" s="96" t="str">
        <f t="shared" si="14"/>
        <v xml:space="preserve">                  Large Cargo Transport Vehicle</v>
      </c>
      <c r="E237" s="96" t="s">
        <v>35</v>
      </c>
      <c r="F237" s="96" t="s">
        <v>689</v>
      </c>
      <c r="G237" s="97">
        <v>1</v>
      </c>
      <c r="H237" s="96"/>
      <c r="I237" s="96"/>
      <c r="J237" s="110"/>
      <c r="K237" s="102"/>
      <c r="L237" s="108"/>
      <c r="M237" s="103"/>
      <c r="N237" s="108"/>
      <c r="O237" s="108"/>
      <c r="P237" s="105"/>
      <c r="Q237" s="105"/>
      <c r="R237" s="108"/>
      <c r="S237" s="118"/>
      <c r="T237" s="118"/>
      <c r="U237" s="108"/>
      <c r="V237" s="108"/>
      <c r="W237" s="99" t="s">
        <v>43</v>
      </c>
      <c r="X237" s="109">
        <f>0.9*$J237</f>
        <v>0</v>
      </c>
      <c r="Y237" s="109">
        <f>1.5*J237</f>
        <v>0</v>
      </c>
      <c r="Z237" s="99" t="s">
        <v>44</v>
      </c>
      <c r="AA237" s="100">
        <f>0.9*K237</f>
        <v>0</v>
      </c>
      <c r="AB237" s="100">
        <f>1.3*K237</f>
        <v>0</v>
      </c>
      <c r="AC237" s="99" t="s">
        <v>44</v>
      </c>
      <c r="AD237" s="100" t="s">
        <v>45</v>
      </c>
      <c r="AE237" s="100" t="s">
        <v>46</v>
      </c>
      <c r="AF237" s="100" t="s">
        <v>47</v>
      </c>
      <c r="AG237" s="99" t="s">
        <v>48</v>
      </c>
    </row>
    <row r="238" spans="1:33" ht="38.25" customHeight="1" x14ac:dyDescent="0.2">
      <c r="A238" s="93">
        <v>282.2</v>
      </c>
      <c r="B238" s="95">
        <f t="shared" si="30"/>
        <v>3</v>
      </c>
      <c r="C238" s="118" t="s">
        <v>690</v>
      </c>
      <c r="D238" s="96" t="str">
        <f t="shared" si="14"/>
        <v xml:space="preserve">                  Used Reactor Transport Vehicle</v>
      </c>
      <c r="E238" s="96" t="s">
        <v>35</v>
      </c>
      <c r="F238" s="96" t="s">
        <v>691</v>
      </c>
      <c r="G238" s="97">
        <v>1</v>
      </c>
      <c r="H238" s="96"/>
      <c r="I238" s="96"/>
      <c r="J238" s="110"/>
      <c r="K238" s="102"/>
      <c r="L238" s="108"/>
      <c r="M238" s="103"/>
      <c r="N238" s="108"/>
      <c r="O238" s="108"/>
      <c r="P238" s="105"/>
      <c r="Q238" s="105"/>
      <c r="R238" s="108"/>
      <c r="S238" s="118"/>
      <c r="T238" s="118"/>
      <c r="U238" s="108"/>
      <c r="V238" s="108"/>
      <c r="W238" s="99" t="s">
        <v>43</v>
      </c>
      <c r="X238" s="109">
        <f>0.9*$J238</f>
        <v>0</v>
      </c>
      <c r="Y238" s="109">
        <f>1.5*J238</f>
        <v>0</v>
      </c>
      <c r="Z238" s="99" t="s">
        <v>44</v>
      </c>
      <c r="AA238" s="100">
        <f>0.9*K238</f>
        <v>0</v>
      </c>
      <c r="AB238" s="100">
        <f>1.3*K238</f>
        <v>0</v>
      </c>
      <c r="AC238" s="99" t="s">
        <v>44</v>
      </c>
      <c r="AD238" s="100" t="s">
        <v>45</v>
      </c>
      <c r="AE238" s="100" t="s">
        <v>46</v>
      </c>
      <c r="AF238" s="100" t="s">
        <v>47</v>
      </c>
      <c r="AG238" s="99" t="s">
        <v>48</v>
      </c>
    </row>
    <row r="239" spans="1:33" ht="38.25" customHeight="1" x14ac:dyDescent="0.2">
      <c r="A239" s="93">
        <v>283.39999999999998</v>
      </c>
      <c r="B239" s="95">
        <f t="shared" si="30"/>
        <v>3</v>
      </c>
      <c r="C239" s="118" t="s">
        <v>692</v>
      </c>
      <c r="D239" s="96" t="str">
        <f t="shared" si="14"/>
        <v xml:space="preserve">                  Operational Spares/Waste Transport Vehicle</v>
      </c>
      <c r="E239" s="96" t="s">
        <v>35</v>
      </c>
      <c r="F239" s="96" t="s">
        <v>693</v>
      </c>
      <c r="G239" s="97">
        <v>1</v>
      </c>
      <c r="H239" s="96"/>
      <c r="I239" s="96"/>
      <c r="J239" s="110"/>
      <c r="K239" s="102"/>
      <c r="L239" s="108"/>
      <c r="M239" s="103"/>
      <c r="N239" s="108"/>
      <c r="O239" s="108"/>
      <c r="P239" s="105"/>
      <c r="Q239" s="105"/>
      <c r="R239" s="108"/>
      <c r="S239" s="118"/>
      <c r="T239" s="118"/>
      <c r="U239" s="108"/>
      <c r="V239" s="108"/>
      <c r="W239" s="99" t="s">
        <v>43</v>
      </c>
      <c r="X239" s="109">
        <f>0.9*$J239</f>
        <v>0</v>
      </c>
      <c r="Y239" s="109">
        <f>1.5*J239</f>
        <v>0</v>
      </c>
      <c r="Z239" s="99" t="s">
        <v>44</v>
      </c>
      <c r="AA239" s="100">
        <f>0.9*K239</f>
        <v>0</v>
      </c>
      <c r="AB239" s="100">
        <f>1.3*K239</f>
        <v>0</v>
      </c>
      <c r="AC239" s="99" t="s">
        <v>44</v>
      </c>
      <c r="AD239" s="100" t="s">
        <v>45</v>
      </c>
      <c r="AE239" s="100" t="s">
        <v>46</v>
      </c>
      <c r="AF239" s="100" t="s">
        <v>47</v>
      </c>
      <c r="AG239" s="99" t="s">
        <v>48</v>
      </c>
    </row>
    <row r="240" spans="1:33" ht="25.5" customHeight="1" x14ac:dyDescent="0.2">
      <c r="A240" s="93">
        <v>283</v>
      </c>
      <c r="B240" s="95">
        <f t="shared" si="30"/>
        <v>2</v>
      </c>
      <c r="C240" s="118" t="s">
        <v>694</v>
      </c>
      <c r="D240" s="96" t="str">
        <f t="shared" si="14"/>
        <v xml:space="preserve">            Vehicle Inspection and Maintenance Equipment</v>
      </c>
      <c r="E240" s="96" t="s">
        <v>35</v>
      </c>
      <c r="F240" s="96" t="s">
        <v>565</v>
      </c>
      <c r="G240" s="97">
        <v>1</v>
      </c>
      <c r="H240" s="96"/>
      <c r="I240" s="96"/>
      <c r="J240" s="110"/>
      <c r="K240" s="102"/>
      <c r="L240" s="108"/>
      <c r="M240" s="103"/>
      <c r="N240" s="108"/>
      <c r="O240" s="108"/>
      <c r="P240" s="105"/>
      <c r="Q240" s="105"/>
      <c r="R240" s="108"/>
      <c r="S240" s="118"/>
      <c r="T240" s="118"/>
      <c r="U240" s="108"/>
      <c r="V240" s="108"/>
      <c r="W240" s="99"/>
      <c r="X240" s="109">
        <f>0.8*$I240</f>
        <v>0</v>
      </c>
      <c r="Y240" s="109">
        <f>2*J240</f>
        <v>0</v>
      </c>
      <c r="Z240" s="99" t="s">
        <v>44</v>
      </c>
      <c r="AA240" s="100">
        <f>0.8*K240</f>
        <v>0</v>
      </c>
      <c r="AB240" s="100">
        <f>2*K240</f>
        <v>0</v>
      </c>
      <c r="AC240" s="99" t="s">
        <v>44</v>
      </c>
      <c r="AD240" s="100" t="s">
        <v>45</v>
      </c>
      <c r="AE240" s="100" t="s">
        <v>46</v>
      </c>
      <c r="AF240" s="100" t="s">
        <v>47</v>
      </c>
      <c r="AG240" s="99" t="s">
        <v>48</v>
      </c>
    </row>
    <row r="241" spans="1:33" x14ac:dyDescent="0.2">
      <c r="A241" s="90">
        <v>30</v>
      </c>
      <c r="B241" s="95">
        <f>IF(ISNUMBER(A241),
    IF(AND(A241=INT(A241), MOD(A241, 10) = 0), 0,
        IF(AND(A241=INT(A241), LEN(A241)=2), 1,
            IF(AND(A241=INT(A241), LEN(A241)=3), 2,
                LEN(A241) - FIND(".", A241) + 2)
        )
    ),
"")</f>
        <v>0</v>
      </c>
      <c r="C241" s="117" t="s">
        <v>366</v>
      </c>
      <c r="D241" s="96" t="str">
        <f t="shared" si="14"/>
        <v>Capitalized Indirect Services Cost</v>
      </c>
      <c r="E241" s="96"/>
      <c r="F241" s="96"/>
      <c r="G241" s="97"/>
      <c r="H241" s="96"/>
      <c r="I241" s="96"/>
      <c r="J241" s="110"/>
      <c r="K241" s="110"/>
      <c r="L241" s="90"/>
      <c r="M241" s="90"/>
      <c r="N241" s="90"/>
      <c r="O241" s="90"/>
      <c r="P241" s="111"/>
      <c r="Q241" s="105"/>
      <c r="R241" s="108"/>
      <c r="S241" s="90"/>
      <c r="T241" s="90"/>
      <c r="U241" s="90"/>
      <c r="V241" s="90"/>
      <c r="W241" s="99"/>
      <c r="X241" s="109"/>
      <c r="Y241" s="109"/>
      <c r="Z241" s="99"/>
      <c r="AA241" s="100"/>
      <c r="AB241" s="100"/>
      <c r="AC241" s="99"/>
      <c r="AD241" s="100"/>
      <c r="AE241" s="100"/>
      <c r="AF241" s="100"/>
      <c r="AG241" s="99"/>
    </row>
    <row r="242" spans="1:33" x14ac:dyDescent="0.2">
      <c r="A242" s="90">
        <v>31</v>
      </c>
      <c r="B242" s="95">
        <v>1</v>
      </c>
      <c r="C242" s="117" t="s">
        <v>367</v>
      </c>
      <c r="D242" s="96" t="str">
        <f t="shared" si="14"/>
        <v xml:space="preserve">      Factory &amp; field indirect costs</v>
      </c>
      <c r="E242" s="96" t="s">
        <v>35</v>
      </c>
      <c r="F242" s="96" t="s">
        <v>565</v>
      </c>
      <c r="G242" s="97">
        <v>1</v>
      </c>
      <c r="H242" s="96"/>
      <c r="I242" s="96"/>
      <c r="J242" s="102"/>
      <c r="K242" s="102"/>
      <c r="L242" s="104"/>
      <c r="M242" s="113"/>
      <c r="N242" s="104"/>
      <c r="O242" s="104"/>
      <c r="P242" s="112"/>
      <c r="Q242" s="105">
        <v>2024</v>
      </c>
      <c r="R242" s="104" t="s">
        <v>73</v>
      </c>
      <c r="S242" s="160" t="s">
        <v>316</v>
      </c>
      <c r="T242" s="104"/>
      <c r="U242" s="104"/>
      <c r="V242" s="104"/>
      <c r="W242" s="99" t="s">
        <v>43</v>
      </c>
      <c r="X242" s="109"/>
      <c r="Y242" s="109"/>
      <c r="Z242" s="99"/>
      <c r="AA242" s="100"/>
      <c r="AB242" s="100"/>
      <c r="AC242" s="99"/>
      <c r="AD242" s="100"/>
      <c r="AE242" s="100"/>
      <c r="AF242" s="100"/>
      <c r="AG242" s="99"/>
    </row>
    <row r="243" spans="1:33" x14ac:dyDescent="0.2">
      <c r="A243" s="90">
        <v>32</v>
      </c>
      <c r="B243" s="95">
        <v>1</v>
      </c>
      <c r="C243" s="117" t="s">
        <v>368</v>
      </c>
      <c r="D243" s="96" t="str">
        <f t="shared" si="14"/>
        <v xml:space="preserve">      Factory and construction supervision</v>
      </c>
      <c r="E243" s="96" t="s">
        <v>35</v>
      </c>
      <c r="F243" s="96" t="s">
        <v>565</v>
      </c>
      <c r="G243" s="97">
        <v>1</v>
      </c>
      <c r="H243" s="96"/>
      <c r="I243" s="96"/>
      <c r="J243" s="102"/>
      <c r="K243" s="102"/>
      <c r="L243" s="104"/>
      <c r="M243" s="113"/>
      <c r="N243" s="104"/>
      <c r="O243" s="104"/>
      <c r="P243" s="112"/>
      <c r="Q243" s="105">
        <v>2024</v>
      </c>
      <c r="R243" s="104" t="s">
        <v>73</v>
      </c>
      <c r="S243" s="161"/>
      <c r="T243" s="104"/>
      <c r="U243" s="104"/>
      <c r="V243" s="104"/>
      <c r="W243" s="99" t="s">
        <v>43</v>
      </c>
      <c r="X243" s="109"/>
      <c r="Y243" s="109"/>
      <c r="Z243" s="99"/>
      <c r="AA243" s="100"/>
      <c r="AB243" s="100"/>
      <c r="AC243" s="99"/>
      <c r="AD243" s="100"/>
      <c r="AE243" s="100"/>
      <c r="AF243" s="100"/>
      <c r="AG243" s="99"/>
    </row>
    <row r="244" spans="1:33" x14ac:dyDescent="0.2">
      <c r="A244" s="93">
        <v>33</v>
      </c>
      <c r="B244" s="95">
        <f t="shared" ref="B244:B268" si="31">IF(ISNUMBER(A244),
IF(AND(A244=INT(A244), MOD(A244, 10) = 0), 0,
IF(AND(A244=INT(A244), LEN(A244)=2), 1,
IF(AND(A244=INT(A244), LEN(A244)=3), 2,
LEN(A244) - FIND(".", A244) + 2)
)
),
"")</f>
        <v>1</v>
      </c>
      <c r="C244" s="117" t="s">
        <v>369</v>
      </c>
      <c r="D244" s="96" t="str">
        <f t="shared" ref="D244:D268" si="32">REPT("   ", B244*2) &amp; C244</f>
        <v xml:space="preserve">      Startup Costs</v>
      </c>
      <c r="E244" s="96" t="s">
        <v>35</v>
      </c>
      <c r="F244" s="96" t="s">
        <v>565</v>
      </c>
      <c r="G244" s="97">
        <v>1</v>
      </c>
      <c r="H244" s="96"/>
      <c r="I244" s="96"/>
      <c r="J244" s="102"/>
      <c r="K244" s="102"/>
      <c r="L244" s="108"/>
      <c r="M244" s="118"/>
      <c r="N244" s="108"/>
      <c r="O244" s="108"/>
      <c r="P244" s="105"/>
      <c r="Q244" s="105">
        <v>2024</v>
      </c>
      <c r="R244" s="108" t="s">
        <v>53</v>
      </c>
      <c r="S244" s="161"/>
      <c r="T244" s="108"/>
      <c r="U244" s="108"/>
      <c r="V244" s="108"/>
      <c r="W244" s="99" t="s">
        <v>43</v>
      </c>
      <c r="X244" s="109"/>
      <c r="Y244" s="109"/>
      <c r="Z244" s="99"/>
      <c r="AA244" s="100"/>
      <c r="AB244" s="100"/>
      <c r="AC244" s="99"/>
      <c r="AD244" s="100"/>
      <c r="AE244" s="100"/>
      <c r="AF244" s="100"/>
      <c r="AG244" s="99"/>
    </row>
    <row r="245" spans="1:33" x14ac:dyDescent="0.2">
      <c r="A245" s="93">
        <v>34</v>
      </c>
      <c r="B245" s="95">
        <f t="shared" si="31"/>
        <v>1</v>
      </c>
      <c r="C245" s="117" t="s">
        <v>370</v>
      </c>
      <c r="D245" s="96" t="str">
        <f t="shared" si="32"/>
        <v xml:space="preserve">      Shipping and Transportation Costs</v>
      </c>
      <c r="E245" s="96" t="s">
        <v>35</v>
      </c>
      <c r="F245" s="96" t="s">
        <v>565</v>
      </c>
      <c r="G245" s="97">
        <v>1</v>
      </c>
      <c r="H245" s="96"/>
      <c r="I245" s="96"/>
      <c r="J245" s="102"/>
      <c r="K245" s="102"/>
      <c r="L245" s="108"/>
      <c r="M245" s="118"/>
      <c r="N245" s="108"/>
      <c r="O245" s="108"/>
      <c r="P245" s="105"/>
      <c r="Q245" s="105">
        <v>2024</v>
      </c>
      <c r="R245" s="108" t="s">
        <v>53</v>
      </c>
      <c r="S245" s="152"/>
      <c r="T245" s="108"/>
      <c r="U245" s="108"/>
      <c r="V245" s="108"/>
      <c r="W245" s="99" t="s">
        <v>43</v>
      </c>
      <c r="X245" s="109"/>
      <c r="Y245" s="109"/>
      <c r="Z245" s="99"/>
      <c r="AA245" s="100"/>
      <c r="AB245" s="100"/>
      <c r="AC245" s="99"/>
      <c r="AD245" s="100"/>
      <c r="AE245" s="100"/>
      <c r="AF245" s="100"/>
      <c r="AG245" s="99"/>
    </row>
    <row r="246" spans="1:33" x14ac:dyDescent="0.2">
      <c r="A246" s="93">
        <v>35</v>
      </c>
      <c r="B246" s="95">
        <f t="shared" si="31"/>
        <v>1</v>
      </c>
      <c r="C246" s="117" t="s">
        <v>371</v>
      </c>
      <c r="D246" s="96" t="str">
        <f t="shared" si="32"/>
        <v xml:space="preserve">      Engineering Services</v>
      </c>
      <c r="E246" s="96" t="s">
        <v>35</v>
      </c>
      <c r="F246" s="96" t="s">
        <v>565</v>
      </c>
      <c r="G246" s="97">
        <v>1</v>
      </c>
      <c r="H246" s="96"/>
      <c r="I246" s="96"/>
      <c r="J246" s="102"/>
      <c r="K246" s="102"/>
      <c r="L246" s="108"/>
      <c r="M246" s="118"/>
      <c r="N246" s="108"/>
      <c r="O246" s="108"/>
      <c r="P246" s="105"/>
      <c r="Q246" s="105"/>
      <c r="R246" s="108"/>
      <c r="S246" s="90"/>
      <c r="T246" s="108"/>
      <c r="U246" s="108"/>
      <c r="V246" s="108"/>
      <c r="W246" s="99" t="s">
        <v>43</v>
      </c>
      <c r="X246" s="109"/>
      <c r="Y246" s="109"/>
      <c r="Z246" s="99"/>
      <c r="AA246" s="100"/>
      <c r="AB246" s="100"/>
      <c r="AC246" s="99"/>
      <c r="AD246" s="100"/>
      <c r="AE246" s="100"/>
      <c r="AF246" s="100"/>
      <c r="AG246" s="99"/>
    </row>
    <row r="247" spans="1:33" x14ac:dyDescent="0.2">
      <c r="A247" s="93">
        <v>36</v>
      </c>
      <c r="B247" s="95">
        <f t="shared" si="31"/>
        <v>1</v>
      </c>
      <c r="C247" s="117" t="s">
        <v>372</v>
      </c>
      <c r="D247" s="96" t="str">
        <f t="shared" si="32"/>
        <v xml:space="preserve">      PM/CM Services</v>
      </c>
      <c r="E247" s="96" t="s">
        <v>35</v>
      </c>
      <c r="F247" s="96" t="s">
        <v>565</v>
      </c>
      <c r="G247" s="97">
        <v>1</v>
      </c>
      <c r="H247" s="96"/>
      <c r="I247" s="96"/>
      <c r="J247" s="102"/>
      <c r="K247" s="102"/>
      <c r="L247" s="108"/>
      <c r="M247" s="118"/>
      <c r="N247" s="108"/>
      <c r="O247" s="108"/>
      <c r="P247" s="105"/>
      <c r="Q247" s="105">
        <v>2024</v>
      </c>
      <c r="R247" s="108" t="s">
        <v>53</v>
      </c>
      <c r="S247" s="101"/>
      <c r="T247" s="108" t="s">
        <v>375</v>
      </c>
      <c r="U247" s="108" t="s">
        <v>376</v>
      </c>
      <c r="V247" s="108"/>
      <c r="W247" s="99" t="s">
        <v>43</v>
      </c>
      <c r="X247" s="109"/>
      <c r="Y247" s="109"/>
      <c r="Z247" s="99"/>
      <c r="AA247" s="100"/>
      <c r="AB247" s="100"/>
      <c r="AC247" s="99"/>
      <c r="AD247" s="100"/>
      <c r="AE247" s="100"/>
      <c r="AF247" s="100"/>
      <c r="AG247" s="99"/>
    </row>
    <row r="248" spans="1:33" x14ac:dyDescent="0.2">
      <c r="A248" s="93">
        <v>40</v>
      </c>
      <c r="B248" s="95">
        <f t="shared" si="31"/>
        <v>0</v>
      </c>
      <c r="C248" s="117" t="s">
        <v>373</v>
      </c>
      <c r="D248" s="96" t="str">
        <f t="shared" si="32"/>
        <v>Capitalized training costs</v>
      </c>
      <c r="E248" s="96"/>
      <c r="F248" s="96"/>
      <c r="G248" s="97"/>
      <c r="H248" s="96"/>
      <c r="I248" s="96"/>
      <c r="J248" s="110"/>
      <c r="K248" s="110"/>
      <c r="L248" s="90"/>
      <c r="M248" s="90"/>
      <c r="N248" s="90"/>
      <c r="O248" s="90"/>
      <c r="P248" s="111"/>
      <c r="Q248" s="111"/>
      <c r="R248" s="90"/>
      <c r="S248" s="90"/>
      <c r="T248" s="90"/>
      <c r="U248" s="90"/>
      <c r="V248" s="90"/>
      <c r="W248" s="99"/>
      <c r="X248" s="109"/>
      <c r="Y248" s="109"/>
      <c r="Z248" s="99"/>
      <c r="AA248" s="100"/>
      <c r="AB248" s="100"/>
      <c r="AC248" s="99"/>
      <c r="AD248" s="100"/>
      <c r="AE248" s="100"/>
      <c r="AF248" s="100"/>
      <c r="AG248" s="99"/>
    </row>
    <row r="249" spans="1:33" x14ac:dyDescent="0.2">
      <c r="A249" s="93">
        <v>41</v>
      </c>
      <c r="B249" s="95">
        <f t="shared" si="31"/>
        <v>1</v>
      </c>
      <c r="C249" s="117" t="s">
        <v>374</v>
      </c>
      <c r="D249" s="96" t="str">
        <f t="shared" si="32"/>
        <v xml:space="preserve">      staff recruitment and training</v>
      </c>
      <c r="E249" s="96" t="s">
        <v>35</v>
      </c>
      <c r="F249" s="96" t="s">
        <v>565</v>
      </c>
      <c r="G249" s="97">
        <v>1</v>
      </c>
      <c r="H249" s="96"/>
      <c r="I249" s="96"/>
      <c r="J249" s="102"/>
      <c r="K249" s="102"/>
      <c r="L249" s="108"/>
      <c r="M249" s="118"/>
      <c r="N249" s="108"/>
      <c r="O249" s="108"/>
      <c r="P249" s="105"/>
      <c r="Q249" s="105"/>
      <c r="R249" s="108"/>
      <c r="S249" s="118"/>
      <c r="T249" s="108"/>
      <c r="U249" s="108"/>
      <c r="V249" s="108"/>
      <c r="W249" s="99"/>
      <c r="X249" s="109"/>
      <c r="Y249" s="109"/>
      <c r="Z249" s="99"/>
      <c r="AA249" s="100"/>
      <c r="AB249" s="100"/>
      <c r="AC249" s="99"/>
      <c r="AD249" s="100"/>
      <c r="AE249" s="100"/>
      <c r="AF249" s="100"/>
      <c r="AG249" s="99"/>
    </row>
    <row r="250" spans="1:33" x14ac:dyDescent="0.2">
      <c r="A250" s="90">
        <v>60</v>
      </c>
      <c r="B250" s="95">
        <f t="shared" si="31"/>
        <v>0</v>
      </c>
      <c r="C250" s="117" t="s">
        <v>377</v>
      </c>
      <c r="D250" s="96" t="str">
        <f t="shared" si="32"/>
        <v xml:space="preserve">Capitalized Financial Costs </v>
      </c>
      <c r="E250" s="96"/>
      <c r="F250" s="96"/>
      <c r="G250" s="97"/>
      <c r="H250" s="96"/>
      <c r="I250" s="96"/>
      <c r="J250" s="98"/>
      <c r="K250" s="98"/>
      <c r="L250" s="95"/>
      <c r="M250" s="91"/>
      <c r="N250" s="95"/>
      <c r="O250" s="95"/>
      <c r="P250" s="98"/>
      <c r="Q250" s="98"/>
      <c r="R250" s="95"/>
      <c r="S250" s="91"/>
      <c r="T250" s="95"/>
      <c r="U250" s="95"/>
      <c r="V250" s="95"/>
      <c r="W250" s="99"/>
      <c r="X250" s="109"/>
      <c r="Y250" s="109"/>
      <c r="Z250" s="99"/>
      <c r="AA250" s="100"/>
      <c r="AB250" s="100"/>
      <c r="AC250" s="99"/>
      <c r="AD250" s="100"/>
      <c r="AE250" s="100"/>
      <c r="AF250" s="100"/>
      <c r="AG250" s="99"/>
    </row>
    <row r="251" spans="1:33" x14ac:dyDescent="0.2">
      <c r="A251" s="93">
        <v>62</v>
      </c>
      <c r="B251" s="95">
        <f t="shared" si="31"/>
        <v>1</v>
      </c>
      <c r="C251" s="117" t="s">
        <v>378</v>
      </c>
      <c r="D251" s="96" t="str">
        <f t="shared" si="32"/>
        <v xml:space="preserve">      Interest</v>
      </c>
      <c r="E251" s="96"/>
      <c r="F251" s="96"/>
      <c r="G251" s="97"/>
      <c r="H251" s="96"/>
      <c r="I251" s="96"/>
      <c r="J251" s="102"/>
      <c r="K251" s="102"/>
      <c r="L251" s="108"/>
      <c r="M251" s="118"/>
      <c r="N251" s="108"/>
      <c r="O251" s="108"/>
      <c r="P251" s="105"/>
      <c r="Q251" s="105"/>
      <c r="R251" s="108"/>
      <c r="S251" s="118"/>
      <c r="T251" s="108"/>
      <c r="U251" s="108"/>
      <c r="V251" s="108"/>
      <c r="W251" s="99"/>
      <c r="X251" s="109"/>
      <c r="Y251" s="109"/>
      <c r="Z251" s="99"/>
      <c r="AA251" s="100"/>
      <c r="AB251" s="100"/>
      <c r="AC251" s="99"/>
      <c r="AD251" s="100"/>
      <c r="AE251" s="100"/>
      <c r="AF251" s="100"/>
      <c r="AG251" s="99"/>
    </row>
    <row r="252" spans="1:33" ht="102" customHeight="1" x14ac:dyDescent="0.2">
      <c r="A252" s="93">
        <v>70</v>
      </c>
      <c r="B252" s="95">
        <f t="shared" si="31"/>
        <v>0</v>
      </c>
      <c r="C252" s="121" t="s">
        <v>379</v>
      </c>
      <c r="D252" s="96" t="str">
        <f t="shared" si="32"/>
        <v xml:space="preserve">Annualized O&amp;M Cost </v>
      </c>
      <c r="E252" s="96"/>
      <c r="F252" s="96"/>
      <c r="G252" s="97"/>
      <c r="H252" s="96"/>
      <c r="I252" s="96"/>
      <c r="J252" s="102"/>
      <c r="K252" s="102">
        <v>178500</v>
      </c>
      <c r="L252" s="108" t="s">
        <v>382</v>
      </c>
      <c r="M252" s="118" t="s">
        <v>383</v>
      </c>
      <c r="N252" s="108"/>
      <c r="O252" s="108"/>
      <c r="P252" s="105">
        <v>1</v>
      </c>
      <c r="Q252" s="105">
        <v>2024</v>
      </c>
      <c r="R252" s="108" t="s">
        <v>53</v>
      </c>
      <c r="S252" s="118"/>
      <c r="T252" s="118" t="s">
        <v>384</v>
      </c>
      <c r="U252" s="108"/>
      <c r="V252" s="108"/>
      <c r="W252" s="99" t="s">
        <v>43</v>
      </c>
      <c r="X252" s="109">
        <f>0.9*$J252</f>
        <v>0</v>
      </c>
      <c r="Y252" s="109">
        <f>1.5*J252</f>
        <v>0</v>
      </c>
      <c r="Z252" s="99" t="s">
        <v>44</v>
      </c>
      <c r="AA252" s="100">
        <f>0.9*K252</f>
        <v>160650</v>
      </c>
      <c r="AB252" s="100">
        <f>1.3*K252</f>
        <v>232050</v>
      </c>
      <c r="AC252" s="99" t="s">
        <v>44</v>
      </c>
      <c r="AD252" s="100" t="s">
        <v>45</v>
      </c>
      <c r="AE252" s="100" t="s">
        <v>46</v>
      </c>
      <c r="AF252" s="100" t="s">
        <v>47</v>
      </c>
      <c r="AG252" s="99" t="s">
        <v>48</v>
      </c>
    </row>
    <row r="253" spans="1:33" ht="89.25" customHeight="1" x14ac:dyDescent="0.2">
      <c r="A253" s="93">
        <v>71</v>
      </c>
      <c r="B253" s="95">
        <f t="shared" si="31"/>
        <v>1</v>
      </c>
      <c r="C253" s="117" t="s">
        <v>380</v>
      </c>
      <c r="D253" s="96" t="str">
        <f t="shared" si="32"/>
        <v xml:space="preserve">      O&amp;M Staff</v>
      </c>
      <c r="E253" s="96"/>
      <c r="F253" s="96"/>
      <c r="G253" s="97"/>
      <c r="H253" s="96"/>
      <c r="I253" s="96"/>
      <c r="J253" s="102"/>
      <c r="K253" s="102">
        <v>178500</v>
      </c>
      <c r="L253" s="108" t="s">
        <v>382</v>
      </c>
      <c r="M253" s="118" t="s">
        <v>387</v>
      </c>
      <c r="N253" s="108"/>
      <c r="O253" s="108"/>
      <c r="P253" s="105">
        <v>1</v>
      </c>
      <c r="Q253" s="105">
        <v>2024</v>
      </c>
      <c r="R253" s="108" t="s">
        <v>53</v>
      </c>
      <c r="S253" s="118"/>
      <c r="T253" s="118" t="s">
        <v>384</v>
      </c>
      <c r="U253" s="108"/>
      <c r="V253" s="108"/>
      <c r="W253" s="99" t="s">
        <v>43</v>
      </c>
      <c r="X253" s="109">
        <f>0.9*$J253</f>
        <v>0</v>
      </c>
      <c r="Y253" s="109">
        <f>1.5*J253</f>
        <v>0</v>
      </c>
      <c r="Z253" s="99" t="s">
        <v>44</v>
      </c>
      <c r="AA253" s="100">
        <f>0.9*K253</f>
        <v>160650</v>
      </c>
      <c r="AB253" s="100">
        <f>1.3*K253</f>
        <v>232050</v>
      </c>
      <c r="AC253" s="99" t="s">
        <v>44</v>
      </c>
      <c r="AD253" s="100" t="s">
        <v>45</v>
      </c>
      <c r="AE253" s="100" t="s">
        <v>46</v>
      </c>
      <c r="AF253" s="100" t="s">
        <v>47</v>
      </c>
      <c r="AG253" s="99" t="s">
        <v>48</v>
      </c>
    </row>
    <row r="254" spans="1:33" ht="89.25" customHeight="1" x14ac:dyDescent="0.2">
      <c r="A254" s="114">
        <v>711</v>
      </c>
      <c r="B254" s="95">
        <f t="shared" si="31"/>
        <v>2</v>
      </c>
      <c r="C254" s="117" t="s">
        <v>381</v>
      </c>
      <c r="D254" s="96" t="str">
        <f t="shared" si="32"/>
        <v xml:space="preserve">            Operators </v>
      </c>
      <c r="E254" s="96" t="s">
        <v>264</v>
      </c>
      <c r="F254" s="96"/>
      <c r="G254" s="97"/>
      <c r="H254" s="96"/>
      <c r="I254" s="96"/>
      <c r="J254" s="102"/>
      <c r="K254" s="102">
        <v>178500</v>
      </c>
      <c r="L254" s="108" t="s">
        <v>382</v>
      </c>
      <c r="M254" s="118" t="s">
        <v>389</v>
      </c>
      <c r="N254" s="108"/>
      <c r="O254" s="108"/>
      <c r="P254" s="105">
        <v>1</v>
      </c>
      <c r="Q254" s="105">
        <v>2024</v>
      </c>
      <c r="R254" s="108" t="s">
        <v>53</v>
      </c>
      <c r="S254" s="118"/>
      <c r="T254" s="118" t="s">
        <v>384</v>
      </c>
      <c r="U254" s="108"/>
      <c r="V254" s="108"/>
      <c r="W254" s="99" t="s">
        <v>43</v>
      </c>
      <c r="X254" s="109">
        <f>0.9*$J254</f>
        <v>0</v>
      </c>
      <c r="Y254" s="109">
        <f>1.5*J254</f>
        <v>0</v>
      </c>
      <c r="Z254" s="99" t="s">
        <v>44</v>
      </c>
      <c r="AA254" s="100">
        <f>0.9*K254</f>
        <v>160650</v>
      </c>
      <c r="AB254" s="100">
        <f>1.3*K254</f>
        <v>232050</v>
      </c>
      <c r="AC254" s="99" t="s">
        <v>44</v>
      </c>
      <c r="AD254" s="100" t="s">
        <v>45</v>
      </c>
      <c r="AE254" s="100" t="s">
        <v>46</v>
      </c>
      <c r="AF254" s="100" t="s">
        <v>47</v>
      </c>
      <c r="AG254" s="99" t="s">
        <v>48</v>
      </c>
    </row>
    <row r="255" spans="1:33" x14ac:dyDescent="0.2">
      <c r="A255" s="114">
        <v>712</v>
      </c>
      <c r="B255" s="95">
        <f t="shared" si="31"/>
        <v>2</v>
      </c>
      <c r="C255" s="117" t="s">
        <v>385</v>
      </c>
      <c r="D255" s="96" t="str">
        <f t="shared" si="32"/>
        <v xml:space="preserve">            Remote Monitoring Technicians </v>
      </c>
      <c r="E255" s="96" t="s">
        <v>264</v>
      </c>
      <c r="F255" s="96"/>
      <c r="G255" s="97"/>
      <c r="H255" s="96"/>
      <c r="I255" s="96"/>
      <c r="J255" s="102"/>
      <c r="K255" s="102"/>
      <c r="L255" s="108"/>
      <c r="M255" s="118"/>
      <c r="N255" s="108"/>
      <c r="O255" s="108"/>
      <c r="P255" s="105"/>
      <c r="Q255" s="105"/>
      <c r="R255" s="108"/>
      <c r="S255" s="118"/>
      <c r="T255" s="118"/>
      <c r="U255" s="108"/>
      <c r="V255" s="108"/>
      <c r="W255" s="99"/>
      <c r="X255" s="109"/>
      <c r="Y255" s="109"/>
      <c r="Z255" s="99"/>
      <c r="AA255" s="100"/>
      <c r="AB255" s="100"/>
      <c r="AC255" s="99"/>
      <c r="AD255" s="100"/>
      <c r="AE255" s="100"/>
      <c r="AF255" s="100"/>
      <c r="AG255" s="99"/>
    </row>
    <row r="256" spans="1:33" ht="15" customHeight="1" x14ac:dyDescent="0.2">
      <c r="A256" s="114">
        <v>713</v>
      </c>
      <c r="B256" s="95">
        <f t="shared" si="31"/>
        <v>2</v>
      </c>
      <c r="C256" s="117" t="s">
        <v>388</v>
      </c>
      <c r="D256" s="96" t="str">
        <f t="shared" si="32"/>
        <v xml:space="preserve">            Security Staff </v>
      </c>
      <c r="E256" s="96" t="s">
        <v>264</v>
      </c>
      <c r="F256" s="96"/>
      <c r="G256" s="97"/>
      <c r="H256" s="96"/>
      <c r="I256" s="96"/>
      <c r="J256" s="102"/>
      <c r="K256" s="102"/>
      <c r="L256" s="108"/>
      <c r="M256" s="118"/>
      <c r="N256" s="108"/>
      <c r="O256" s="108"/>
      <c r="P256" s="105"/>
      <c r="Q256" s="105"/>
      <c r="R256" s="108"/>
      <c r="S256" s="118"/>
      <c r="T256" s="120"/>
      <c r="U256" s="119"/>
      <c r="V256" s="108"/>
      <c r="W256" s="99"/>
      <c r="X256" s="109"/>
      <c r="Y256" s="109"/>
      <c r="Z256" s="99"/>
      <c r="AA256" s="100"/>
      <c r="AB256" s="100"/>
      <c r="AC256" s="99"/>
      <c r="AD256" s="100"/>
      <c r="AE256" s="100"/>
      <c r="AF256" s="100"/>
      <c r="AG256" s="99"/>
    </row>
    <row r="257" spans="1:33" ht="15" customHeight="1" x14ac:dyDescent="0.2">
      <c r="A257" s="114">
        <v>714</v>
      </c>
      <c r="B257" s="95">
        <f t="shared" si="31"/>
        <v>2</v>
      </c>
      <c r="C257" s="117" t="s">
        <v>695</v>
      </c>
      <c r="D257" s="96" t="str">
        <f t="shared" si="32"/>
        <v xml:space="preserve">            Maintenance Staff</v>
      </c>
      <c r="E257" s="96" t="s">
        <v>264</v>
      </c>
      <c r="F257" s="96"/>
      <c r="G257" s="97"/>
      <c r="H257" s="96"/>
      <c r="I257" s="96"/>
      <c r="J257" s="102"/>
      <c r="K257" s="102"/>
      <c r="L257" s="108"/>
      <c r="M257" s="118"/>
      <c r="N257" s="108"/>
      <c r="O257" s="108"/>
      <c r="P257" s="105"/>
      <c r="Q257" s="105"/>
      <c r="R257" s="108"/>
      <c r="S257" s="118"/>
      <c r="T257" s="120"/>
      <c r="U257" s="119"/>
      <c r="V257" s="108"/>
      <c r="W257" s="99"/>
      <c r="X257" s="109"/>
      <c r="Y257" s="109"/>
      <c r="Z257" s="99"/>
      <c r="AA257" s="100"/>
      <c r="AB257" s="100"/>
      <c r="AC257" s="99"/>
      <c r="AD257" s="100"/>
      <c r="AE257" s="100"/>
      <c r="AF257" s="100"/>
      <c r="AG257" s="99"/>
    </row>
    <row r="258" spans="1:33" ht="15" customHeight="1" x14ac:dyDescent="0.2">
      <c r="A258" s="93">
        <v>74</v>
      </c>
      <c r="B258" s="95">
        <f t="shared" si="31"/>
        <v>1</v>
      </c>
      <c r="C258" s="117" t="s">
        <v>696</v>
      </c>
      <c r="D258" s="96" t="str">
        <f t="shared" si="32"/>
        <v xml:space="preserve">      Fixed O&amp;M Utilities and Materials </v>
      </c>
      <c r="E258" s="96"/>
      <c r="F258" s="96"/>
      <c r="G258" s="97"/>
      <c r="H258" s="96"/>
      <c r="I258" s="96"/>
      <c r="J258" s="102"/>
      <c r="K258" s="102"/>
      <c r="L258" s="108"/>
      <c r="M258" s="118"/>
      <c r="N258" s="108"/>
      <c r="O258" s="108"/>
      <c r="P258" s="105"/>
      <c r="Q258" s="105"/>
      <c r="R258" s="108"/>
      <c r="S258" s="118"/>
      <c r="T258" s="120"/>
      <c r="U258" s="119"/>
      <c r="V258" s="108"/>
      <c r="W258" s="99"/>
      <c r="X258" s="109"/>
      <c r="Y258" s="109"/>
      <c r="Z258" s="99"/>
      <c r="AA258" s="100"/>
      <c r="AB258" s="100"/>
      <c r="AC258" s="99"/>
      <c r="AD258" s="100"/>
      <c r="AE258" s="100"/>
      <c r="AF258" s="100"/>
      <c r="AG258" s="99"/>
    </row>
    <row r="259" spans="1:33" ht="15" customHeight="1" x14ac:dyDescent="0.2">
      <c r="A259" s="93">
        <v>742</v>
      </c>
      <c r="B259" s="95">
        <f t="shared" si="31"/>
        <v>2</v>
      </c>
      <c r="C259" s="117" t="s">
        <v>697</v>
      </c>
      <c r="D259" s="96" t="str">
        <f t="shared" si="32"/>
        <v xml:space="preserve">            Spare Parts</v>
      </c>
      <c r="E259" s="96"/>
      <c r="F259" s="96"/>
      <c r="G259" s="97"/>
      <c r="H259" s="96"/>
      <c r="I259" s="96"/>
      <c r="J259" s="102"/>
      <c r="K259" s="102"/>
      <c r="L259" s="108"/>
      <c r="M259" s="118"/>
      <c r="N259" s="108"/>
      <c r="O259" s="108"/>
      <c r="P259" s="105"/>
      <c r="Q259" s="105"/>
      <c r="R259" s="108"/>
      <c r="S259" s="118"/>
      <c r="T259" s="120"/>
      <c r="U259" s="119"/>
      <c r="V259" s="108"/>
      <c r="W259" s="99"/>
      <c r="X259" s="109"/>
      <c r="Y259" s="109"/>
      <c r="Z259" s="99"/>
      <c r="AA259" s="100"/>
      <c r="AB259" s="100"/>
      <c r="AC259" s="99"/>
      <c r="AD259" s="100"/>
      <c r="AE259" s="100"/>
      <c r="AF259" s="100"/>
      <c r="AG259" s="99"/>
    </row>
    <row r="260" spans="1:33" ht="15" customHeight="1" x14ac:dyDescent="0.2">
      <c r="A260" s="93">
        <v>743</v>
      </c>
      <c r="B260" s="95">
        <f t="shared" si="31"/>
        <v>2</v>
      </c>
      <c r="C260" s="117" t="s">
        <v>698</v>
      </c>
      <c r="D260" s="96" t="str">
        <f t="shared" si="32"/>
        <v xml:space="preserve">            Utilities, Supplies, and Consumables</v>
      </c>
      <c r="E260" s="96"/>
      <c r="F260" s="96"/>
      <c r="G260" s="97"/>
      <c r="H260" s="96"/>
      <c r="I260" s="96"/>
      <c r="J260" s="102"/>
      <c r="K260" s="102"/>
      <c r="L260" s="108"/>
      <c r="M260" s="118"/>
      <c r="N260" s="108"/>
      <c r="O260" s="108"/>
      <c r="P260" s="105"/>
      <c r="Q260" s="105"/>
      <c r="R260" s="108"/>
      <c r="S260" s="118"/>
      <c r="T260" s="120"/>
      <c r="U260" s="119"/>
      <c r="V260" s="108"/>
      <c r="W260" s="99"/>
      <c r="X260" s="109"/>
      <c r="Y260" s="109"/>
      <c r="Z260" s="99"/>
      <c r="AA260" s="100"/>
      <c r="AB260" s="100"/>
      <c r="AC260" s="99"/>
      <c r="AD260" s="100"/>
      <c r="AE260" s="100"/>
      <c r="AF260" s="100"/>
      <c r="AG260" s="99"/>
    </row>
    <row r="261" spans="1:33" ht="15" customHeight="1" x14ac:dyDescent="0.2">
      <c r="A261" s="93">
        <v>743.1</v>
      </c>
      <c r="B261" s="95">
        <f t="shared" si="31"/>
        <v>3</v>
      </c>
      <c r="C261" s="117" t="s">
        <v>699</v>
      </c>
      <c r="D261" s="96" t="str">
        <f t="shared" si="32"/>
        <v xml:space="preserve">                  Annualized Transportation Costs</v>
      </c>
      <c r="E261" s="96" t="s">
        <v>35</v>
      </c>
      <c r="F261" s="96" t="s">
        <v>565</v>
      </c>
      <c r="G261" s="97">
        <v>1</v>
      </c>
      <c r="H261" s="96"/>
      <c r="I261" s="96"/>
      <c r="J261" s="102"/>
      <c r="K261" s="102"/>
      <c r="L261" s="108"/>
      <c r="M261" s="118"/>
      <c r="N261" s="108"/>
      <c r="O261" s="108"/>
      <c r="P261" s="105"/>
      <c r="Q261" s="105"/>
      <c r="R261" s="108"/>
      <c r="S261" s="118"/>
      <c r="T261" s="120"/>
      <c r="U261" s="119"/>
      <c r="V261" s="108"/>
      <c r="W261" s="99"/>
      <c r="X261" s="109">
        <f>0.8*$I261</f>
        <v>0</v>
      </c>
      <c r="Y261" s="109">
        <f>2*J261</f>
        <v>0</v>
      </c>
      <c r="Z261" s="99" t="s">
        <v>44</v>
      </c>
      <c r="AA261" s="100">
        <f>0.8*K261</f>
        <v>0</v>
      </c>
      <c r="AB261" s="100">
        <f>2*K261</f>
        <v>0</v>
      </c>
      <c r="AC261" s="99" t="s">
        <v>44</v>
      </c>
      <c r="AD261" s="100" t="s">
        <v>45</v>
      </c>
      <c r="AE261" s="100" t="s">
        <v>46</v>
      </c>
      <c r="AF261" s="100" t="s">
        <v>47</v>
      </c>
      <c r="AG261" s="99" t="s">
        <v>48</v>
      </c>
    </row>
    <row r="262" spans="1:33" ht="15" customHeight="1" x14ac:dyDescent="0.2">
      <c r="A262" s="93">
        <v>743.2</v>
      </c>
      <c r="B262" s="95">
        <f t="shared" si="31"/>
        <v>3</v>
      </c>
      <c r="C262" s="117" t="s">
        <v>700</v>
      </c>
      <c r="D262" s="96" t="str">
        <f t="shared" si="32"/>
        <v xml:space="preserve">                  Annualized Cask Replacements</v>
      </c>
      <c r="E262" s="96"/>
      <c r="F262" s="96"/>
      <c r="G262" s="97"/>
      <c r="H262" s="96"/>
      <c r="I262" s="96"/>
      <c r="J262" s="102"/>
      <c r="K262" s="102"/>
      <c r="L262" s="108"/>
      <c r="M262" s="118"/>
      <c r="N262" s="108"/>
      <c r="O262" s="108"/>
      <c r="P262" s="105"/>
      <c r="Q262" s="105"/>
      <c r="R262" s="108"/>
      <c r="S262" s="118"/>
      <c r="T262" s="120"/>
      <c r="U262" s="119"/>
      <c r="V262" s="108"/>
      <c r="W262" s="99"/>
      <c r="X262" s="109"/>
      <c r="Y262" s="109"/>
      <c r="Z262" s="99"/>
      <c r="AA262" s="100"/>
      <c r="AB262" s="100"/>
      <c r="AC262" s="99"/>
      <c r="AD262" s="100"/>
      <c r="AE262" s="100"/>
      <c r="AF262" s="100"/>
      <c r="AG262" s="99"/>
    </row>
    <row r="263" spans="1:33" ht="39" customHeight="1" x14ac:dyDescent="0.2">
      <c r="A263" s="93">
        <v>743.21</v>
      </c>
      <c r="B263" s="95">
        <f t="shared" si="31"/>
        <v>4</v>
      </c>
      <c r="C263" s="117" t="s">
        <v>701</v>
      </c>
      <c r="D263" s="96" t="str">
        <f t="shared" si="32"/>
        <v xml:space="preserve">                        Spent Fuel Cask</v>
      </c>
      <c r="E263" s="96" t="s">
        <v>35</v>
      </c>
      <c r="F263" s="96" t="s">
        <v>702</v>
      </c>
      <c r="G263" s="97">
        <v>1</v>
      </c>
      <c r="H263" s="96"/>
      <c r="I263" s="96"/>
      <c r="J263" s="102">
        <v>1159000</v>
      </c>
      <c r="K263" s="102"/>
      <c r="L263" s="108"/>
      <c r="M263" s="118"/>
      <c r="N263" s="108"/>
      <c r="O263" s="108"/>
      <c r="P263" s="105"/>
      <c r="Q263" s="105">
        <v>2023</v>
      </c>
      <c r="R263" s="108" t="s">
        <v>153</v>
      </c>
      <c r="S263" s="118" t="s">
        <v>620</v>
      </c>
      <c r="T263" s="120"/>
      <c r="U263" s="119"/>
      <c r="V263" s="108" t="s">
        <v>703</v>
      </c>
      <c r="W263" s="99"/>
      <c r="X263" s="109">
        <v>1008000</v>
      </c>
      <c r="Y263" s="109">
        <v>1310000</v>
      </c>
      <c r="Z263" s="99" t="s">
        <v>44</v>
      </c>
      <c r="AA263" s="100">
        <f>0.8*K263</f>
        <v>0</v>
      </c>
      <c r="AB263" s="100">
        <f>2*K263</f>
        <v>0</v>
      </c>
      <c r="AC263" s="99" t="s">
        <v>44</v>
      </c>
      <c r="AD263" s="100" t="s">
        <v>45</v>
      </c>
      <c r="AE263" s="100" t="s">
        <v>46</v>
      </c>
      <c r="AF263" s="100" t="s">
        <v>47</v>
      </c>
      <c r="AG263" s="99" t="s">
        <v>48</v>
      </c>
    </row>
    <row r="264" spans="1:33" ht="39" customHeight="1" x14ac:dyDescent="0.2">
      <c r="A264" s="93">
        <v>743.22</v>
      </c>
      <c r="B264" s="95">
        <f t="shared" si="31"/>
        <v>4</v>
      </c>
      <c r="C264" s="117" t="s">
        <v>704</v>
      </c>
      <c r="D264" s="96" t="str">
        <f t="shared" si="32"/>
        <v xml:space="preserve">                        Reactor Transport Cask</v>
      </c>
      <c r="E264" s="96" t="s">
        <v>35</v>
      </c>
      <c r="F264" s="96" t="s">
        <v>705</v>
      </c>
      <c r="G264" s="97">
        <v>1</v>
      </c>
      <c r="H264" s="96"/>
      <c r="I264" s="96"/>
      <c r="J264" s="102">
        <v>6750000</v>
      </c>
      <c r="K264" s="102"/>
      <c r="L264" s="108"/>
      <c r="M264" s="118"/>
      <c r="N264" s="108"/>
      <c r="O264" s="108"/>
      <c r="P264" s="105"/>
      <c r="Q264" s="105">
        <v>2022</v>
      </c>
      <c r="R264" s="108" t="s">
        <v>153</v>
      </c>
      <c r="S264" s="118" t="s">
        <v>706</v>
      </c>
      <c r="T264" s="120"/>
      <c r="U264" s="119"/>
      <c r="V264" s="108"/>
      <c r="W264" s="99"/>
      <c r="X264" s="109">
        <v>5000000</v>
      </c>
      <c r="Y264" s="109">
        <v>8500000</v>
      </c>
      <c r="Z264" s="99" t="s">
        <v>44</v>
      </c>
      <c r="AA264" s="100">
        <f>0.8*K264</f>
        <v>0</v>
      </c>
      <c r="AB264" s="100">
        <f>2*K264</f>
        <v>0</v>
      </c>
      <c r="AC264" s="99" t="s">
        <v>44</v>
      </c>
      <c r="AD264" s="100" t="s">
        <v>45</v>
      </c>
      <c r="AE264" s="100" t="s">
        <v>46</v>
      </c>
      <c r="AF264" s="100" t="s">
        <v>47</v>
      </c>
      <c r="AG264" s="99" t="s">
        <v>48</v>
      </c>
    </row>
    <row r="265" spans="1:33" ht="39" customHeight="1" x14ac:dyDescent="0.2">
      <c r="A265" s="93">
        <v>743.23</v>
      </c>
      <c r="B265" s="95">
        <f t="shared" si="31"/>
        <v>4</v>
      </c>
      <c r="C265" s="117" t="s">
        <v>707</v>
      </c>
      <c r="D265" s="96" t="str">
        <f t="shared" si="32"/>
        <v xml:space="preserve">                        Radioactive Waste Storage Cask</v>
      </c>
      <c r="E265" s="96" t="s">
        <v>35</v>
      </c>
      <c r="F265" s="96" t="s">
        <v>708</v>
      </c>
      <c r="G265" s="97">
        <v>1</v>
      </c>
      <c r="H265" s="96"/>
      <c r="I265" s="96"/>
      <c r="J265" s="102">
        <v>1159000</v>
      </c>
      <c r="K265" s="102"/>
      <c r="L265" s="108"/>
      <c r="M265" s="118"/>
      <c r="N265" s="108"/>
      <c r="O265" s="108"/>
      <c r="P265" s="105"/>
      <c r="Q265" s="105">
        <v>2023</v>
      </c>
      <c r="R265" s="108" t="s">
        <v>153</v>
      </c>
      <c r="S265" s="118" t="s">
        <v>620</v>
      </c>
      <c r="T265" s="120"/>
      <c r="U265" s="119"/>
      <c r="V265" s="108" t="s">
        <v>703</v>
      </c>
      <c r="W265" s="99"/>
      <c r="X265" s="109">
        <v>1008000</v>
      </c>
      <c r="Y265" s="109">
        <v>1310000</v>
      </c>
      <c r="Z265" s="99" t="s">
        <v>44</v>
      </c>
      <c r="AA265" s="100">
        <f>0.8*K265</f>
        <v>0</v>
      </c>
      <c r="AB265" s="100">
        <f>2*K265</f>
        <v>0</v>
      </c>
      <c r="AC265" s="99" t="s">
        <v>44</v>
      </c>
      <c r="AD265" s="100" t="s">
        <v>45</v>
      </c>
      <c r="AE265" s="100" t="s">
        <v>46</v>
      </c>
      <c r="AF265" s="100" t="s">
        <v>47</v>
      </c>
      <c r="AG265" s="99" t="s">
        <v>48</v>
      </c>
    </row>
    <row r="266" spans="1:33" ht="64.5" customHeight="1" x14ac:dyDescent="0.2">
      <c r="A266" s="93">
        <v>743.3</v>
      </c>
      <c r="B266" s="95">
        <f t="shared" si="31"/>
        <v>3</v>
      </c>
      <c r="C266" s="117" t="s">
        <v>709</v>
      </c>
      <c r="D266" s="96" t="str">
        <f t="shared" si="32"/>
        <v xml:space="preserve">                  Annualized Helium Replenishment</v>
      </c>
      <c r="E266" s="96" t="s">
        <v>35</v>
      </c>
      <c r="F266" s="96" t="s">
        <v>565</v>
      </c>
      <c r="G266" s="97">
        <v>1</v>
      </c>
      <c r="H266" s="96"/>
      <c r="I266" s="96"/>
      <c r="J266" s="102"/>
      <c r="K266" s="102">
        <v>170</v>
      </c>
      <c r="L266" s="108" t="s">
        <v>186</v>
      </c>
      <c r="M266" s="118" t="s">
        <v>300</v>
      </c>
      <c r="N266" s="108"/>
      <c r="O266" s="108" t="s">
        <v>188</v>
      </c>
      <c r="P266" s="105"/>
      <c r="Q266" s="105">
        <v>2024</v>
      </c>
      <c r="R266" s="108" t="s">
        <v>153</v>
      </c>
      <c r="S266" s="118" t="s">
        <v>301</v>
      </c>
      <c r="T266" s="120" t="s">
        <v>301</v>
      </c>
      <c r="U266" s="119" t="s">
        <v>302</v>
      </c>
      <c r="V266" s="108" t="s">
        <v>303</v>
      </c>
      <c r="W266" s="99" t="s">
        <v>43</v>
      </c>
      <c r="X266" s="109">
        <v>0</v>
      </c>
      <c r="Y266" s="109">
        <v>0</v>
      </c>
      <c r="Z266" s="99" t="s">
        <v>44</v>
      </c>
      <c r="AA266" s="100">
        <f>0.9*K266</f>
        <v>153</v>
      </c>
      <c r="AB266" s="100">
        <f>1.3*K266</f>
        <v>221</v>
      </c>
      <c r="AC266" s="99" t="s">
        <v>44</v>
      </c>
      <c r="AD266" s="100" t="s">
        <v>45</v>
      </c>
      <c r="AE266" s="100" t="s">
        <v>46</v>
      </c>
      <c r="AF266" s="100" t="s">
        <v>47</v>
      </c>
      <c r="AG266" s="99" t="s">
        <v>48</v>
      </c>
    </row>
    <row r="267" spans="1:33" x14ac:dyDescent="0.2">
      <c r="A267" s="93">
        <v>75</v>
      </c>
      <c r="B267" s="95">
        <f t="shared" si="31"/>
        <v>1</v>
      </c>
      <c r="C267" s="117" t="s">
        <v>397</v>
      </c>
      <c r="D267" s="96" t="str">
        <f t="shared" si="32"/>
        <v xml:space="preserve">      Capital Plant Expenditures</v>
      </c>
      <c r="E267" s="96"/>
      <c r="F267" s="96"/>
      <c r="G267" s="122"/>
      <c r="H267" s="123"/>
      <c r="I267" s="123"/>
      <c r="J267" s="124"/>
      <c r="K267" s="125"/>
      <c r="L267" s="126"/>
      <c r="M267" s="126"/>
      <c r="N267" s="126"/>
      <c r="O267" s="126"/>
      <c r="P267" s="125"/>
      <c r="Q267" s="126"/>
      <c r="R267" s="126"/>
      <c r="S267" s="126"/>
      <c r="T267" s="126"/>
      <c r="U267" s="126"/>
      <c r="V267" s="126"/>
      <c r="W267" s="126"/>
      <c r="X267" s="125"/>
      <c r="Y267" s="125"/>
      <c r="Z267" s="126"/>
      <c r="AA267" s="125"/>
      <c r="AB267" s="125"/>
      <c r="AC267" s="126"/>
      <c r="AD267" s="125"/>
      <c r="AE267" s="125"/>
      <c r="AF267" s="125"/>
      <c r="AG267" s="126"/>
    </row>
    <row r="268" spans="1:33" x14ac:dyDescent="0.2">
      <c r="A268" s="93">
        <v>78</v>
      </c>
      <c r="B268" s="95">
        <f t="shared" si="31"/>
        <v>1</v>
      </c>
      <c r="C268" s="117" t="s">
        <v>407</v>
      </c>
      <c r="D268" s="96" t="str">
        <f t="shared" si="32"/>
        <v xml:space="preserve">      Annualized Decommissioning Cost</v>
      </c>
      <c r="E268" s="96"/>
      <c r="F268" s="96"/>
      <c r="G268" s="122"/>
      <c r="H268" s="123"/>
      <c r="I268" s="123"/>
      <c r="J268" s="124"/>
      <c r="K268" s="125"/>
      <c r="L268" s="126"/>
      <c r="M268" s="126"/>
      <c r="N268" s="126"/>
      <c r="O268" s="126"/>
      <c r="P268" s="125"/>
      <c r="Q268" s="126"/>
      <c r="R268" s="126"/>
      <c r="S268" s="126"/>
      <c r="T268" s="126"/>
      <c r="U268" s="126"/>
      <c r="V268" s="126"/>
      <c r="W268" s="126"/>
      <c r="X268" s="125"/>
      <c r="Y268" s="125"/>
      <c r="Z268" s="126"/>
      <c r="AA268" s="125"/>
      <c r="AB268" s="125"/>
      <c r="AC268" s="126"/>
      <c r="AD268" s="125"/>
      <c r="AE268" s="125"/>
      <c r="AF268" s="125"/>
      <c r="AG268" s="126"/>
    </row>
  </sheetData>
  <mergeCells count="70">
    <mergeCell ref="S23:S25"/>
    <mergeCell ref="S225:S230"/>
    <mergeCell ref="S122:S124"/>
    <mergeCell ref="U57:U59"/>
    <mergeCell ref="S38:S40"/>
    <mergeCell ref="U62:U64"/>
    <mergeCell ref="T117:T119"/>
    <mergeCell ref="S112:S114"/>
    <mergeCell ref="S57:S59"/>
    <mergeCell ref="S28:S30"/>
    <mergeCell ref="U28:U30"/>
    <mergeCell ref="U93:U95"/>
    <mergeCell ref="S127:S129"/>
    <mergeCell ref="T225:T230"/>
    <mergeCell ref="S74:S76"/>
    <mergeCell ref="S11:S13"/>
    <mergeCell ref="T74:T76"/>
    <mergeCell ref="T112:T114"/>
    <mergeCell ref="U11:U13"/>
    <mergeCell ref="S117:S119"/>
    <mergeCell ref="U45:U47"/>
    <mergeCell ref="T93:T95"/>
    <mergeCell ref="S98:S100"/>
    <mergeCell ref="S105:S107"/>
    <mergeCell ref="U74:U76"/>
    <mergeCell ref="T62:T64"/>
    <mergeCell ref="U105:U107"/>
    <mergeCell ref="T38:T40"/>
    <mergeCell ref="S52:S54"/>
    <mergeCell ref="S86:S88"/>
    <mergeCell ref="U86:U88"/>
    <mergeCell ref="U3:U4"/>
    <mergeCell ref="T57:T59"/>
    <mergeCell ref="T33:T35"/>
    <mergeCell ref="T18:T20"/>
    <mergeCell ref="T98:T100"/>
    <mergeCell ref="T45:T47"/>
    <mergeCell ref="U5:U6"/>
    <mergeCell ref="T3:T4"/>
    <mergeCell ref="T5:T6"/>
    <mergeCell ref="T11:T13"/>
    <mergeCell ref="S18:S20"/>
    <mergeCell ref="U122:U124"/>
    <mergeCell ref="U18:U20"/>
    <mergeCell ref="T79:T81"/>
    <mergeCell ref="U127:U129"/>
    <mergeCell ref="U23:U25"/>
    <mergeCell ref="T105:T107"/>
    <mergeCell ref="T52:T54"/>
    <mergeCell ref="T86:T88"/>
    <mergeCell ref="S93:S95"/>
    <mergeCell ref="S62:S64"/>
    <mergeCell ref="S33:S35"/>
    <mergeCell ref="T23:T25"/>
    <mergeCell ref="T28:T30"/>
    <mergeCell ref="S45:S47"/>
    <mergeCell ref="S79:S81"/>
    <mergeCell ref="S242:S245"/>
    <mergeCell ref="U33:U35"/>
    <mergeCell ref="U98:U100"/>
    <mergeCell ref="U67:U69"/>
    <mergeCell ref="U117:U119"/>
    <mergeCell ref="U52:U54"/>
    <mergeCell ref="U79:U81"/>
    <mergeCell ref="U38:U40"/>
    <mergeCell ref="U112:U114"/>
    <mergeCell ref="T122:T124"/>
    <mergeCell ref="S67:S69"/>
    <mergeCell ref="T67:T69"/>
    <mergeCell ref="T127:T12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Cost Database</vt:lpstr>
      <vt:lpstr>MARVEL_Cost</vt:lpstr>
      <vt:lpstr>Design Variables</vt:lpstr>
      <vt:lpstr>Inflation Adjustment</vt:lpstr>
      <vt:lpstr>Economics Parameters</vt:lpstr>
      <vt:lpstr>Central Facility 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Botros N. Hanna</cp:lastModifiedBy>
  <dcterms:created xsi:type="dcterms:W3CDTF">2025-04-15T13:54:12Z</dcterms:created>
  <dcterms:modified xsi:type="dcterms:W3CDTF">2026-05-08T18:56:22Z</dcterms:modified>
</cp:coreProperties>
</file>